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872313FC-918E-4B59-807B-DD80FD76D87B}" xr6:coauthVersionLast="47" xr6:coauthVersionMax="47" xr10:uidLastSave="{00000000-0000-0000-0000-000000000000}"/>
  <bookViews>
    <workbookView visibility="hidden" xWindow="1170" yWindow="1170" windowWidth="21600" windowHeight="11505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<sst xmlns="http://schemas.openxmlformats.org/spreadsheetml/2006/main" count="88" uniqueCount="66">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</sst>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</cellXfs>
  <cellStyles count="2">
    <cellStyle name="パーセント" xfId="1" builtinId="5"/>
    <cellStyle name="標準" xfId="0" builtinId="0"/>
  </cellStyles>
  <dxfs count="24">
    <dxf>
      <numFmt numFmtId="19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9" formatCode="m/d/yyyy"/>
    </dxf>
    <dxf>
      <numFmt numFmtId="19" formatCode="m/d/yyyy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16">
  <autoFilter ref="A16:M36" xr:uid="{DC74771B-A3BB-4016-95E1-9210A102967A}"/>
  <tableColumns count="13">
    <tableColumn id="1" xr3:uid="{CA93C521-A3E6-47D8-9B85-2328CA0BF6CC}" name="No" dataDxfId="15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14"/>
    <tableColumn id="14" xr3:uid="{7B669A75-5E61-45CD-A547-E49CC1053081}" name="所要日数" dataDxfId="13"/>
    <tableColumn id="7" xr3:uid="{544F1420-E4D4-428F-93A5-AE962FA7EAE3}" name="終了日" dataDxfId="12">
      <calculatedColumnFormula>WORKDAY(WBS[[#This Row],[開始日]],WBS[[#This Row],[所要日数]]-1,_祝日[日付])</calculatedColumnFormula>
    </tableColumn>
    <tableColumn id="5" xr3:uid="{D6CEB564-77AF-407C-AD4C-4D0728123D7F}" name="ステータス" dataDxfId="11"/>
    <tableColumn id="15" xr3:uid="{683CF3BF-33E0-4A0D-9172-7514CE45124C}" name="進捗率" dataCellStyle="パーセント"/>
    <tableColumn id="9" xr3:uid="{CE773E09-820F-4355-8CFB-D4E1F3A7A628}" name="備考" dataDxfId="1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9" headerRowBorderDxfId="8" tableBorderDxfId="7" totalsRowBorderDxfId="6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5" headerRowBorderDxfId="4" tableBorderDxfId="3" totalsRowBorderDxfId="2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"/>
    <tableColumn id="2" xr3:uid="{88643D9E-1AE2-4F84-A038-CF6A2B4EF7A0}" uniqueName="2" name="日付" queryTableFieldId="2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6"/>
  <sheetViews>
    <sheetView showGridLines="0" showRowColHeaders="0" tabSelected="1" zoomScale="85" zoomScaleNormal="85" workbookViewId="0">
      <pane xSplit="13" ySplit="16" topLeftCell="EB17" activePane="bottomRight" state="frozen"/>
      <selection pane="topRight" activeCell="N1" sqref="N1"/>
      <selection pane="bottomLeft" activeCell="A13" sqref="A13"/>
      <selection pane="bottomRight" activeCell="ER14" sqref="ER14"/>
    </sheetView>
  </sheetViews>
  <sheetFormatPr defaultColWidth="3.625" defaultRowHeight="18.75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157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</row>
    <row r="18" spans="1:157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</row>
    <row r="19" spans="1:157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</row>
    <row r="20" spans="1:157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</row>
    <row r="21" spans="1:157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</row>
    <row r="22" spans="1:157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</row>
    <row r="23" spans="1:157">
      <c r="A23">
        <f t="shared" si="0"/>
        <v>7</v>
      </c>
      <c r="H23" s="3"/>
      <c r="J23" s="3"/>
      <c r="L23" s="14"/>
      <c r="M23" s="10"/>
    </row>
    <row r="24" spans="1:157">
      <c r="A24">
        <f t="shared" si="0"/>
        <v>8</v>
      </c>
      <c r="H24" s="3"/>
      <c r="J24" s="3"/>
      <c r="L24" s="14"/>
      <c r="M24" s="10"/>
    </row>
    <row r="25" spans="1:157">
      <c r="A25">
        <f t="shared" si="0"/>
        <v>9</v>
      </c>
      <c r="H25" s="3"/>
      <c r="J25" s="3"/>
      <c r="L25" s="14"/>
      <c r="M25" s="10"/>
    </row>
    <row r="26" spans="1:157">
      <c r="A26">
        <f t="shared" si="0"/>
        <v>10</v>
      </c>
      <c r="H26" s="3"/>
      <c r="J26" s="3"/>
      <c r="L26" s="14"/>
      <c r="M26" s="10"/>
    </row>
    <row r="27" spans="1:157">
      <c r="A27">
        <f t="shared" si="0"/>
        <v>11</v>
      </c>
      <c r="H27" s="3"/>
      <c r="J27" s="3"/>
      <c r="L27" s="14"/>
      <c r="M27" s="10"/>
    </row>
    <row r="28" spans="1:157">
      <c r="A28">
        <f t="shared" si="0"/>
        <v>12</v>
      </c>
      <c r="H28" s="3"/>
      <c r="J28" s="3"/>
      <c r="L28" s="14"/>
      <c r="M28" s="10"/>
    </row>
    <row r="29" spans="1:157">
      <c r="A29">
        <f t="shared" si="0"/>
        <v>13</v>
      </c>
      <c r="H29" s="3"/>
      <c r="J29" s="3"/>
      <c r="L29" s="14"/>
      <c r="M29" s="10"/>
    </row>
    <row r="30" spans="1:157">
      <c r="A30">
        <f t="shared" si="0"/>
        <v>14</v>
      </c>
      <c r="H30" s="3"/>
      <c r="J30" s="3"/>
      <c r="L30" s="14"/>
      <c r="M30" s="10"/>
    </row>
    <row r="31" spans="1:157">
      <c r="A31">
        <f t="shared" si="0"/>
        <v>15</v>
      </c>
      <c r="H31" s="3"/>
      <c r="J31" s="3"/>
      <c r="L31" s="14"/>
      <c r="M31" s="10"/>
    </row>
    <row r="32" spans="1:157">
      <c r="A32">
        <f t="shared" si="0"/>
        <v>16</v>
      </c>
      <c r="H32" s="3"/>
      <c r="J32" s="3"/>
      <c r="L32" s="14"/>
      <c r="M32" s="10"/>
    </row>
    <row r="33" spans="1:13">
      <c r="A33">
        <f t="shared" si="0"/>
        <v>17</v>
      </c>
      <c r="H33" s="3"/>
      <c r="J33" s="3"/>
      <c r="L33" s="14"/>
      <c r="M33" s="10"/>
    </row>
    <row r="34" spans="1:13">
      <c r="A34">
        <f t="shared" si="0"/>
        <v>18</v>
      </c>
      <c r="H34" s="3"/>
      <c r="J34" s="3"/>
      <c r="L34" s="14"/>
      <c r="M34" s="10"/>
    </row>
    <row r="35" spans="1:13">
      <c r="A35">
        <f t="shared" si="0"/>
        <v>19</v>
      </c>
      <c r="H35" s="3"/>
      <c r="J35" s="3"/>
      <c r="L35" s="14"/>
      <c r="M35" s="10"/>
    </row>
    <row r="36" spans="1:13">
      <c r="A36">
        <f t="shared" si="0"/>
        <v>20</v>
      </c>
      <c r="H36" s="3"/>
      <c r="J36" s="3"/>
      <c r="L36" s="14"/>
      <c r="M36" s="10"/>
    </row>
  </sheetData>
  <phoneticPr fontId="1"/>
  <conditionalFormatting sqref="N17:NO36">
    <cfRule type="expression" dxfId="23" priority="1" stopIfTrue="1">
      <formula>OR(WEEKDAY(N$14)=1, WEEKDAY(N$14)=7)</formula>
    </cfRule>
    <cfRule type="expression" dxfId="22" priority="2" stopIfTrue="1">
      <formula>COUNTIF(INDIRECT("_祝日[日付]"),N$14)=1</formula>
    </cfRule>
    <cfRule type="expression" dxfId="21" priority="3" stopIfTrue="1">
      <formula>AND(N$14&gt;=$H17,N$14&lt;=$J17,$K17="対応完了")</formula>
    </cfRule>
    <cfRule type="expression" dxfId="20" priority="4" stopIfTrue="1">
      <formula>AND(N$14&gt;=$H17,N$14&lt;=$J17,$J17&lt;TODAY())</formula>
    </cfRule>
    <cfRule type="expression" dxfId="19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8" priority="7" stopIfTrue="1">
      <formula>$K17="対応完了"</formula>
    </cfRule>
    <cfRule type="expression" dxfId="17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8.75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大江 広司</cp:lastModifiedBy>
  <dcterms:created xsi:type="dcterms:W3CDTF">2015-06-05T18:19:34Z</dcterms:created>
  <dcterms:modified xsi:type="dcterms:W3CDTF">2024-05-27T01:35:05Z</dcterms:modified>
</cp:coreProperties>
</file>