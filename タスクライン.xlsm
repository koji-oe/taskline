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taskline\"/>
    </mc:Choice>
  </mc:AlternateContent>
  <xr:revisionPtr revIDLastSave="0" documentId="13_ncr:1_{90AA0E5E-D564-4B37-86B0-121740529CEA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WBS" sheetId="1" r:id="rId1"/>
    <sheet name="マスタ" sheetId="2" r:id="rId2"/>
    <sheet name="祝日" sheetId="3" r:id="rId3"/>
  </sheets>
  <definedNames>
    <definedName name="_calendar">WBS!$N$14</definedName>
    <definedName name="_category">WBS[[#Headers],[大分類]]</definedName>
    <definedName name="_endDate">WBS[[#Headers],[終了日]]</definedName>
    <definedName name="_xlnm._FilterDatabase" localSheetId="0" hidden="1">WBS!$A$16:$M$36</definedName>
    <definedName name="_progress">WBS[[#Headers],[進捗率]]</definedName>
    <definedName name="_startDate">WBS[[#Headers],[開始日]]</definedName>
    <definedName name="_status">WBS[[#Headers],[ステータス]]</definedName>
    <definedName name="_subCategory">WBS[[#Headers],[中分類]]</definedName>
    <definedName name="_subSubCategory">WBS[[#Headers],[小分類]]</definedName>
    <definedName name="_taskStart">WBS!$A$17</definedName>
    <definedName name="ExternalData_1" localSheetId="2" hidden="1">祝日!$A$1:$B$22</definedName>
    <definedName name="スライサー_ステータス">#N/A</definedName>
    <definedName name="スライサー_大分類">#N/A</definedName>
    <definedName name="スライサー_担当者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J17" i="1"/>
  <c r="H18" i="1" s="1"/>
  <c r="J18" i="1" s="1"/>
  <c r="H19" i="1" s="1"/>
  <c r="J19" i="1" s="1"/>
  <c r="H20" i="1" s="1"/>
  <c r="J20" i="1" s="1"/>
  <c r="H21" i="1" s="1"/>
  <c r="J21" i="1" s="1"/>
  <c r="H22" i="1" s="1"/>
  <c r="J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大江 広司</author>
  </authors>
  <commentList>
    <comment ref="EF17" authorId="0" shapeId="0" xr:uid="{7E4DF422-02BA-411E-98D2-305D9F0D0C39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EL18" authorId="0" shapeId="0" xr:uid="{48FBB9CF-05D4-4A92-B9E9-DB7B88DDA6D6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Q19" authorId="0" shapeId="0" xr:uid="{8B731C81-C349-42EB-A705-827F9135FB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</text>
    </comment>
    <comment ref="ES20" authorId="0" shapeId="0" xr:uid="{235C7BD6-BE27-4FC1-9CFD-E9F8A51211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U21" authorId="0" shapeId="0" xr:uid="{2A441003-A5A8-4699-BEAD-3ABBF975C8F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FA22" authorId="0" shapeId="0" xr:uid="{7132ABA8-655D-4481-AD97-37F9B08CBB05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E5F46E-1968-424D-A4B8-8107A056619E}" keepAlive="1" name="クエリ - 祝日" description="ブック内の '祝日' クエリへの接続です。" type="5" refreshedVersion="8" background="1" saveData="1">
    <dbPr connection="Provider=Microsoft.Mashup.OleDb.1;Data Source=$Workbook$;Location=祝日;Extended Properties=&quot;&quot;" command="SELECT * FROM [祝日]"/>
  </connection>
</connections>
</file>

<file path=xl/sharedStrings.xml><?xml version="1.0" encoding="utf-8"?>
<sst xmlns="http://schemas.openxmlformats.org/spreadsheetml/2006/main" count="88" uniqueCount="66">
  <si>
    <t>担当者</t>
    <rPh sb="0" eb="3">
      <t>タントウシャ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</si>
  <si>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</si>
  <si>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</si>
  <si>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備考</t>
    <rPh sb="0" eb="2">
      <t>ビコウ</t>
    </rPh>
    <phoneticPr fontId="1"/>
  </si>
  <si>
    <t>保留</t>
    <rPh sb="0" eb="2">
      <t>ホリュウ</t>
    </rPh>
    <phoneticPr fontId="1"/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</si>
  <si>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</si>
  <si>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</si>
  <si>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</si>
  <si>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</si>
  <si>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</si>
  <si>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</si>
  <si>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</si>
  <si>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</si>
  <si>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</si>
  <si>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</si>
  <si>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</si>
  <si>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</si>
  <si>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休日</t>
  </si>
  <si>
    <t>敬老の日</t>
  </si>
  <si>
    <t>秋分の日</t>
  </si>
  <si>
    <t>文化の日</t>
  </si>
  <si>
    <t>勤労感謝の日</t>
  </si>
  <si>
    <t>大分類</t>
    <rPh sb="0" eb="3">
      <t>ダイブンルイ</t>
    </rPh>
    <phoneticPr fontId="1"/>
  </si>
  <si>
    <t>ステータス</t>
    <phoneticPr fontId="1"/>
  </si>
  <si>
    <t>未対応</t>
    <rPh sb="0" eb="3">
      <t>ミタイオウ</t>
    </rPh>
    <phoneticPr fontId="1"/>
  </si>
  <si>
    <t>対応中</t>
    <rPh sb="0" eb="3">
      <t>タイオウチュウ</t>
    </rPh>
    <phoneticPr fontId="1"/>
  </si>
  <si>
    <t>対応完了</t>
    <rPh sb="0" eb="4">
      <t>タイオウカンリョウ</t>
    </rPh>
    <phoneticPr fontId="1"/>
  </si>
  <si>
    <t>対応不要</t>
    <rPh sb="0" eb="4">
      <t>タイオウフヨウ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</si>
  <si>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</si>
  <si>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</si>
  <si>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</si>
  <si>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</si>
  <si>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</si>
  <si>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</si>
  <si>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PJメンバ</t>
    <phoneticPr fontId="1"/>
  </si>
  <si>
    <t>名称</t>
  </si>
  <si>
    <t>日付</t>
  </si>
  <si>
    <t>No</t>
    <phoneticPr fontId="1"/>
  </si>
  <si>
    <t>工程</t>
    <rPh sb="0" eb="2">
      <t>コウテイ</t>
    </rPh>
    <phoneticPr fontId="1"/>
  </si>
  <si>
    <t>進捗率</t>
    <rPh sb="0" eb="3">
      <t>シンチョクリツ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</si>
  <si>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</si>
  <si>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</si>
  <si>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成果物</t>
    <rPh sb="0" eb="3">
      <t>セイカブツ</t>
    </rPh>
    <phoneticPr fontId="1"/>
  </si>
  <si>
    <t>所要日数</t>
    <rPh sb="0" eb="2">
      <t>ショヨウ</t>
    </rPh>
    <rPh sb="2" eb="4">
      <t>ニッスウ</t>
    </rPh>
    <phoneticPr fontId="1"/>
  </si>
  <si>
    <t>要件</t>
    <rPh sb="0" eb="2">
      <t>ヨウケン</t>
    </rPh>
    <phoneticPr fontId="1"/>
  </si>
  <si>
    <t>設計</t>
    <rPh sb="0" eb="2">
      <t>セッケイ</t>
    </rPh>
    <phoneticPr fontId="1"/>
  </si>
  <si>
    <t>製造</t>
    <rPh sb="0" eb="2">
      <t>セイゾウ</t>
    </rPh>
    <phoneticPr fontId="1"/>
  </si>
  <si>
    <t>テスト</t>
    <phoneticPr fontId="1"/>
  </si>
  <si>
    <t>手順書</t>
    <rPh sb="0" eb="3">
      <t>テジュンショ</t>
    </rPh>
    <phoneticPr fontId="1"/>
  </si>
  <si>
    <t>納品</t>
    <rPh sb="0" eb="2">
      <t>ノウヒン</t>
    </rPh>
    <phoneticPr fontId="1"/>
  </si>
  <si>
    <t>成果物1</t>
    <rPh sb="0" eb="3">
      <t>セイカブツ</t>
    </rPh>
    <phoneticPr fontId="1"/>
  </si>
  <si>
    <t>成果物2</t>
    <rPh sb="0" eb="3">
      <t>セイカブツ</t>
    </rPh>
    <phoneticPr fontId="1"/>
  </si>
  <si>
    <t>成果物3</t>
    <rPh sb="0" eb="3">
      <t>セイカブツ</t>
    </rPh>
    <phoneticPr fontId="1"/>
  </si>
  <si>
    <t>成果物4</t>
    <rPh sb="0" eb="3">
      <t>セイカブツ</t>
    </rPh>
    <phoneticPr fontId="1"/>
  </si>
  <si>
    <t>成果物5</t>
    <rPh sb="0" eb="3">
      <t>セイカブツ</t>
    </rPh>
    <phoneticPr fontId="1"/>
  </si>
  <si>
    <t>成果物6</t>
    <rPh sb="0" eb="3">
      <t>セイカブツ</t>
    </rPh>
    <phoneticPr fontId="1"/>
  </si>
  <si>
    <t>大分類1</t>
    <rPh sb="0" eb="3">
      <t>ダイブンルイ</t>
    </rPh>
    <phoneticPr fontId="1"/>
  </si>
  <si>
    <t>大分類2</t>
    <rPh sb="0" eb="3">
      <t>ダイブンルイ</t>
    </rPh>
    <phoneticPr fontId="1"/>
  </si>
  <si>
    <t>大分類3</t>
    <rPh sb="0" eb="3">
      <t>ダイブンルイ</t>
    </rPh>
    <phoneticPr fontId="1"/>
  </si>
  <si>
    <t>中分類1</t>
    <rPh sb="0" eb="3">
      <t>チュウブンルイ</t>
    </rPh>
    <phoneticPr fontId="1"/>
  </si>
  <si>
    <t>中分類2</t>
    <rPh sb="0" eb="3">
      <t>チュウブンルイ</t>
    </rPh>
    <phoneticPr fontId="1"/>
  </si>
  <si>
    <t>小分類1</t>
    <rPh sb="0" eb="3">
      <t>ショウブンルイ</t>
    </rPh>
    <phoneticPr fontId="1"/>
  </si>
  <si>
    <t>小分類2</t>
    <rPh sb="0" eb="3">
      <t>ショウブンルイ</t>
    </rPh>
    <phoneticPr fontId="1"/>
  </si>
  <si>
    <t>大分類1変更</t>
    <rPh sb="0" eb="3">
      <t>ダイブンルイ</t>
    </rPh>
    <rPh sb="4" eb="6">
      <t>ヘンコウ</t>
    </rPh>
    <phoneticPr fontId="1"/>
  </si>
  <si>
    <t>中分類2変更</t>
    <rPh sb="0" eb="3">
      <t>チュウブンルイ</t>
    </rPh>
    <rPh sb="4" eb="6">
      <t>ヘンコウ</t>
    </rPh>
    <phoneticPr fontId="1"/>
  </si>
  <si>
    <t>小分類1変更</t>
    <rPh sb="0" eb="3">
      <t>ショウブンルイ</t>
    </rPh>
    <rPh sb="4" eb="6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</si>
</sst>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m"/>
    <numFmt numFmtId="178" formatCode="yyyy"/>
    <numFmt numFmtId="179" formatCode="aaa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1"/>
      <color indexed="9"/>
      <name val="Yu Gothic"/>
      <family val="3"/>
      <charset val="128"/>
      <scheme val="minor"/>
    </font>
    <font>
      <sz val="11"/>
      <color indexed="8"/>
      <name val="Arial"/>
      <family val="2"/>
    </font>
    <font>
      <sz val="11"/>
      <color indexed="8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472C4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/>
      <top style="hair">
        <color auto="1"/>
      </top>
      <bottom style="thin">
        <color theme="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0" fontId="0" fillId="0" borderId="1" xfId="0" applyBorder="1"/>
    <xf numFmtId="0" fontId="3" fillId="0" borderId="1" xfId="0" applyFont="1" applyBorder="1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4" fillId="0" borderId="0" xfId="0" applyFont="1"/>
    <xf numFmtId="0" fontId="6" fillId="0" borderId="0" xfId="0" applyFont="1"/>
    <xf numFmtId="178" fontId="4" fillId="0" borderId="0" xfId="0" applyNumberFormat="1" applyFont="1" applyAlignment="1">
      <alignment horizontal="centerContinuous"/>
    </xf>
    <xf numFmtId="0" fontId="6" fillId="0" borderId="0" xfId="0" applyFont="1" applyAlignment="1">
      <alignment horizontal="centerContinuous"/>
    </xf>
    <xf numFmtId="10" fontId="0" fillId="0" borderId="0" xfId="0" applyNumberFormat="1"/>
    <xf numFmtId="0" fontId="0" fillId="0" borderId="0" xfId="0" applyAlignment="1">
      <alignment horizontal="left"/>
    </xf>
    <xf numFmtId="10" fontId="3" fillId="0" borderId="0" xfId="0" applyNumberFormat="1" applyFont="1"/>
    <xf numFmtId="0" fontId="4" fillId="3" borderId="0" xfId="0" applyFont="1" applyFill="1"/>
    <xf numFmtId="9" fontId="0" fillId="0" borderId="0" xfId="1" applyFont="1" applyAlignment="1"/>
    <xf numFmtId="177" fontId="7" fillId="4" borderId="0" xfId="0" applyNumberFormat="1" applyFont="1" applyFill="1"/>
    <xf numFmtId="176" fontId="7" fillId="4" borderId="0" xfId="0" applyNumberFormat="1" applyFont="1" applyFill="1"/>
    <xf numFmtId="179" fontId="7" fillId="4" borderId="0" xfId="0" applyNumberFormat="1" applyFont="1" applyFill="1"/>
    <xf numFmtId="176" fontId="0" fillId="2" borderId="0" xfId="0" applyNumberForma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0" fillId="0" borderId="8" xfId="0" applyBorder="1"/>
    <xf numFmtId="0" fontId="3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2">
    <cellStyle name="パーセント" xfId="1" builtinId="5"/>
    <cellStyle name="標準" xfId="0" builtinId="0"/>
  </cellStyles>
  <dxfs count="38"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numFmt numFmtId="180" formatCode="m/d/yyyy"/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numFmt numFmtId="14" formatCode="0.00%"/>
    </dxf>
    <dxf>
      <numFmt numFmtId="180" formatCode="m/d/yyyy"/>
    </dxf>
    <dxf>
      <numFmt numFmtId="180" formatCode="m/d/yyyy"/>
    </dxf>
    <dxf>
      <numFmt numFmtId="0" formatCode="General"/>
    </dxf>
    <dxf>
      <numFmt numFmtId="180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Light16"/>
  <colors>
    <mruColors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alcChain" Target="calcChain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8</xdr:row>
          <xdr:rowOff>142875</xdr:rowOff>
        </xdr:from>
        <xdr:to>
          <xdr:col>4</xdr:col>
          <xdr:colOff>733425</xdr:colOff>
          <xdr:row>9</xdr:row>
          <xdr:rowOff>190500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書式更新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76200</xdr:rowOff>
        </xdr:from>
        <xdr:to>
          <xdr:col>2</xdr:col>
          <xdr:colOff>9525</xdr:colOff>
          <xdr:row>1</xdr:row>
          <xdr:rowOff>123825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WBS初期化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115420</xdr:colOff>
      <xdr:row>2</xdr:row>
      <xdr:rowOff>15128</xdr:rowOff>
    </xdr:from>
    <xdr:to>
      <xdr:col>2</xdr:col>
      <xdr:colOff>145676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大分類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大分類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420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210671</xdr:colOff>
      <xdr:row>2</xdr:row>
      <xdr:rowOff>15128</xdr:rowOff>
    </xdr:from>
    <xdr:to>
      <xdr:col>2</xdr:col>
      <xdr:colOff>1316692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担当者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担当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643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1392891</xdr:colOff>
      <xdr:row>2</xdr:row>
      <xdr:rowOff>15128</xdr:rowOff>
    </xdr:from>
    <xdr:to>
      <xdr:col>3</xdr:col>
      <xdr:colOff>1064559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ステータス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ステータ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6865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19050</xdr:rowOff>
        </xdr:from>
        <xdr:to>
          <xdr:col>4</xdr:col>
          <xdr:colOff>733425</xdr:colOff>
          <xdr:row>3</xdr:row>
          <xdr:rowOff>66675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当日線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6</xdr:row>
          <xdr:rowOff>171450</xdr:rowOff>
        </xdr:from>
        <xdr:to>
          <xdr:col>4</xdr:col>
          <xdr:colOff>733425</xdr:colOff>
          <xdr:row>7</xdr:row>
          <xdr:rowOff>209550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6</xdr:row>
          <xdr:rowOff>171450</xdr:rowOff>
        </xdr:from>
        <xdr:to>
          <xdr:col>5</xdr:col>
          <xdr:colOff>390525</xdr:colOff>
          <xdr:row>7</xdr:row>
          <xdr:rowOff>209550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3</xdr:row>
          <xdr:rowOff>142875</xdr:rowOff>
        </xdr:from>
        <xdr:to>
          <xdr:col>4</xdr:col>
          <xdr:colOff>733425</xdr:colOff>
          <xdr:row>4</xdr:row>
          <xdr:rowOff>190500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実績線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5</xdr:row>
          <xdr:rowOff>57150</xdr:rowOff>
        </xdr:from>
        <xdr:to>
          <xdr:col>4</xdr:col>
          <xdr:colOff>733425</xdr:colOff>
          <xdr:row>6</xdr:row>
          <xdr:rowOff>104775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稲妻線</a:t>
              </a:r>
            </a:p>
          </xdr:txBody>
        </xdr:sp>
        <xdr:clientData fPrintsWithSheet="0"/>
      </xdr:twoCellAnchor>
    </mc:Choice>
    <mc:Fallback/>
  </mc:AlternateContent>
  <xdr:twoCellAnchor>
    <xdr:from>
      <xdr:col>134</xdr:col>
      <xdr:colOff>0</xdr:colOff>
      <xdr:row>16</xdr:row>
      <xdr:rowOff>0</xdr:rowOff>
    </xdr:from>
    <xdr:to>
      <xdr:col>136</xdr:col>
      <xdr:colOff>0</xdr:colOff>
      <xdr:row>16</xdr:row>
      <xdr:rowOff>111125</xdr:rowOff>
    </xdr:to>
    <xdr:sp macro="" textlink="">
      <xdr:nvSpPr>
        <xdr:cNvPr id="14" name="実績線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024675" y="3810000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17</xdr:row>
      <xdr:rowOff>0</xdr:rowOff>
    </xdr:from>
    <xdr:to>
      <xdr:col>142</xdr:col>
      <xdr:colOff>0</xdr:colOff>
      <xdr:row>17</xdr:row>
      <xdr:rowOff>111125</xdr:rowOff>
    </xdr:to>
    <xdr:sp macro="" textlink="">
      <xdr:nvSpPr>
        <xdr:cNvPr id="15" name="実績線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6682025" y="4048125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142</xdr:col>
      <xdr:colOff>0</xdr:colOff>
      <xdr:row>18</xdr:row>
      <xdr:rowOff>0</xdr:rowOff>
    </xdr:from>
    <xdr:to>
      <xdr:col>146</xdr:col>
      <xdr:colOff>0</xdr:colOff>
      <xdr:row>18</xdr:row>
      <xdr:rowOff>111125</xdr:rowOff>
    </xdr:to>
    <xdr:sp macro="" textlink="">
      <xdr:nvSpPr>
        <xdr:cNvPr id="16" name="実績線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234475" y="4286250"/>
          <a:ext cx="110490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0</xdr:colOff>
      <xdr:row>19</xdr:row>
      <xdr:rowOff>0</xdr:rowOff>
    </xdr:from>
    <xdr:to>
      <xdr:col>148</xdr:col>
      <xdr:colOff>110489</xdr:colOff>
      <xdr:row>19</xdr:row>
      <xdr:rowOff>111125</xdr:rowOff>
    </xdr:to>
    <xdr:sp macro="" textlink="">
      <xdr:nvSpPr>
        <xdr:cNvPr id="17" name="実績線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8615600" y="4524375"/>
          <a:ext cx="386714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149</xdr:col>
      <xdr:colOff>0</xdr:colOff>
      <xdr:row>20</xdr:row>
      <xdr:rowOff>0</xdr:rowOff>
    </xdr:from>
    <xdr:to>
      <xdr:col>149</xdr:col>
      <xdr:colOff>220979</xdr:colOff>
      <xdr:row>20</xdr:row>
      <xdr:rowOff>111125</xdr:rowOff>
    </xdr:to>
    <xdr:sp macro="" textlink="">
      <xdr:nvSpPr>
        <xdr:cNvPr id="18" name="実績線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9168050" y="4762500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0</xdr:colOff>
      <xdr:row>21</xdr:row>
      <xdr:rowOff>0</xdr:rowOff>
    </xdr:from>
    <xdr:to>
      <xdr:col>153</xdr:col>
      <xdr:colOff>220979</xdr:colOff>
      <xdr:row>21</xdr:row>
      <xdr:rowOff>111125</xdr:rowOff>
    </xdr:to>
    <xdr:sp macro="" textlink="">
      <xdr:nvSpPr>
        <xdr:cNvPr id="19" name="実績線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272950" y="5000625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152400</xdr:colOff>
      <xdr:row>16</xdr:row>
      <xdr:rowOff>0</xdr:rowOff>
    </xdr:from>
    <xdr:to>
      <xdr:col>147</xdr:col>
      <xdr:colOff>152400</xdr:colOff>
      <xdr:row>36</xdr:row>
      <xdr:rowOff>0</xdr:rowOff>
    </xdr:to>
    <xdr:cxnSp macro="">
      <xdr:nvCxnSpPr>
        <xdr:cNvPr id="20" name="当日線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48768000" y="3810000"/>
          <a:ext cx="0" cy="47625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713772-51B4-43FC-A057-4CB9E6F393F0}" autoFormatId="20" applyNumberFormats="0" applyBorderFormats="0" applyFontFormats="0" applyPatternFormats="0" applyAlignmentFormats="0" applyWidthHeightFormats="0">
  <queryTableRefresh nextId="3">
    <queryTableFields count="2">
      <queryTableField id="1" name="名称" tableColumnId="1"/>
      <queryTableField id="2" name="日付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大分類" xr10:uid="{0F74153F-C58A-45D7-9461-3B4D9F620238}" sourceName="大分類">
  <extLst>
    <x:ext xmlns:x15="http://schemas.microsoft.com/office/spreadsheetml/2010/11/main" uri="{2F2917AC-EB37-4324-AD4E-5DD8C200BD13}">
      <x15:tableSlicerCache tableId="1" column="1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担当者" xr10:uid="{844E1B2A-788D-4527-8DC9-87322083963D}" sourceName="担当者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ステータス" xr10:uid="{F5EFF9A8-8248-4AE2-A1E1-746FEA3F5D2A}" sourceName="ステータス">
  <extLst>
    <x:ext xmlns:x15="http://schemas.microsoft.com/office/spreadsheetml/2010/11/main" uri="{2F2917AC-EB37-4324-AD4E-5DD8C200BD13}">
      <x15:tableSlicerCache tableId="1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大分類" xr10:uid="{804593DA-8502-403F-8E9C-FDF3D8E60787}" cache="スライサー_大分類" caption="大分類" style="SlicerStyleDark5" rowHeight="257175"/>
  <slicer name="担当者" xr10:uid="{9C4818E1-E941-4DF8-9C7C-7C849E4F71AE}" cache="スライサー_担当者" caption="担当者" style="SlicerStyleDark5" rowHeight="257175"/>
  <slicer name="ステータス" xr10:uid="{D3618967-8F80-4E9F-BE18-2E1E9ED6A174}" cache="スライサー_ステータス" caption="ステータス" style="SlicerStyleDark5" rowHeight="257175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4771B-A3BB-4016-95E1-9210A102967A}" name="WBS" displayName="WBS" ref="A16:M36" totalsRowShown="0" headerRowDxfId="30">
  <autoFilter ref="A16:M36" xr:uid="{DC74771B-A3BB-4016-95E1-9210A102967A}"/>
  <tableColumns count="13">
    <tableColumn id="1" xr3:uid="{CA93C521-A3E6-47D8-9B85-2328CA0BF6CC}" name="No" dataDxfId="29">
      <calculatedColumnFormula>ROW()-16</calculatedColumnFormula>
    </tableColumn>
    <tableColumn id="2" xr3:uid="{893DB578-BFCA-49D7-A4D5-93CB8BDA192B}" name="工程"/>
    <tableColumn id="11" xr3:uid="{D3727534-D6FD-44CD-9EC9-62494C62A210}" name="大分類"/>
    <tableColumn id="10" xr3:uid="{8717431B-5342-4BF2-9595-D385DA5523C3}" name="中分類"/>
    <tableColumn id="3" xr3:uid="{F4D71E99-7370-471B-9CB7-2E1220807090}" name="小分類"/>
    <tableColumn id="13" xr3:uid="{F7CFBA05-0603-4106-9D98-7664F10D2189}" name="成果物"/>
    <tableColumn id="4" xr3:uid="{7F03DEF8-14B8-495C-B24B-2207B6296798}" name="担当者"/>
    <tableColumn id="6" xr3:uid="{BA266868-1E80-4189-9950-13981BAEF60A}" name="開始日" dataDxfId="28"/>
    <tableColumn id="14" xr3:uid="{7B669A75-5E61-45CD-A547-E49CC1053081}" name="所要日数" dataDxfId="27"/>
    <tableColumn id="7" xr3:uid="{544F1420-E4D4-428F-93A5-AE962FA7EAE3}" name="終了日" dataDxfId="26">
      <calculatedColumnFormula>WORKDAY(WBS[[#This Row],[開始日]],WBS[[#This Row],[所要日数]]-1,_祝日[日付])</calculatedColumnFormula>
    </tableColumn>
    <tableColumn id="5" xr3:uid="{D6CEB564-77AF-407C-AD4C-4D0728123D7F}" name="ステータス" dataDxfId="25"/>
    <tableColumn id="15" xr3:uid="{683CF3BF-33E0-4A0D-9172-7514CE45124C}" name="進捗率" dataCellStyle="パーセント"/>
    <tableColumn id="9" xr3:uid="{CE773E09-820F-4355-8CFB-D4E1F3A7A628}" name="備考" dataDxfId="24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05A927-5E26-4D5D-88C9-0FCD56297B6C}" name="_PJメンバ" displayName="_PJメンバ" ref="B1:B4" totalsRowShown="0" headerRowDxfId="23" headerRowBorderDxfId="22" tableBorderDxfId="21" totalsRowBorderDxfId="20">
  <autoFilter ref="B1:B4" xr:uid="{E905A927-5E26-4D5D-88C9-0FCD56297B6C}"/>
  <tableColumns count="1">
    <tableColumn id="1" xr3:uid="{F9D791EA-2DEA-41E4-A680-5AD02064373A}" name="PJメンバ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72DDEE-BD82-4E43-82D4-8CA1659615CB}" name="_ステータス" displayName="_ステータス" ref="A1:A6" totalsRowShown="0" headerRowDxfId="19" headerRowBorderDxfId="18" tableBorderDxfId="17" totalsRowBorderDxfId="16">
  <autoFilter ref="A1:A6" xr:uid="{3472DDEE-BD82-4E43-82D4-8CA1659615CB}"/>
  <tableColumns count="1">
    <tableColumn id="1" xr3:uid="{78B2BD30-4B06-4E47-98AF-174F27801949}" name="ステータス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921AEB-CCDB-4263-BF82-01B109D0B995}" name="_祝日" displayName="_祝日" ref="A1:B22" tableType="queryTable" totalsRowShown="0">
  <autoFilter ref="A1:B22" xr:uid="{04921AEB-CCDB-4263-BF82-01B109D0B995}"/>
  <tableColumns count="2">
    <tableColumn id="1" xr3:uid="{4C5C2E0E-7CBC-4A11-8EF0-57C417F6636C}" uniqueName="1" name="名称" queryTableFieldId="1" dataDxfId="15"/>
    <tableColumn id="2" xr3:uid="{88643D9E-1AE2-4F84-A038-CF6A2B4EF7A0}" uniqueName="2" name="日付" queryTableFieldId="2" dataDxfId="14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O37"/>
  <sheetViews>
    <sheetView showGridLines="0" showRowColHeaders="0" tabSelected="1" zoomScale="80" zoomScaleNormal="80" workbookViewId="0">
      <pane xSplit="13" ySplit="16" topLeftCell="N17" activePane="bottomRight" state="frozen"/>
      <selection pane="topRight" activeCell="N1" sqref="N1"/>
      <selection pane="bottomLeft" activeCell="A13" sqref="A13"/>
      <selection pane="bottomRight" activeCell="N17" sqref="N17"/>
    </sheetView>
  </sheetViews>
  <sheetFormatPr defaultColWidth="3.625" defaultRowHeight="17.649999999999999" outlineLevelRow="1" outlineLevelCol="1"/>
  <cols>
    <col min="1" max="1" width="6.5" bestFit="1" customWidth="1"/>
    <col min="2" max="2" width="7.625" bestFit="1" customWidth="1"/>
    <col min="3" max="5" width="18.75" customWidth="1"/>
    <col min="6" max="6" width="9.375" bestFit="1" customWidth="1"/>
    <col min="7" max="7" width="9.375" customWidth="1" outlineLevel="1"/>
    <col min="8" max="8" width="10.75" customWidth="1" outlineLevel="1"/>
    <col min="9" max="9" width="11.25" customWidth="1" outlineLevel="1"/>
    <col min="10" max="10" width="10.75" customWidth="1" outlineLevel="1"/>
    <col min="11" max="11" width="13.25" customWidth="1" outlineLevel="1"/>
    <col min="12" max="12" width="9.375" customWidth="1" outlineLevel="1"/>
    <col min="13" max="13" width="7.625" customWidth="1" outlineLevel="1"/>
    <col min="14" max="44" width="3.625" style="1" customWidth="1"/>
    <col min="45" max="45" width="3.75" style="1" customWidth="1"/>
    <col min="46" max="16384" width="3.625" style="1"/>
  </cols>
  <sheetData>
    <row r="1" spans="1:379" s="7" customFormat="1" outlineLevel="1">
      <c r="A1" s="6"/>
    </row>
    <row r="2" spans="1:379" s="7" customFormat="1" outlineLevel="1">
      <c r="A2" s="6"/>
    </row>
    <row r="3" spans="1:379" s="7" customFormat="1" outlineLevel="1">
      <c r="A3" s="6"/>
    </row>
    <row r="4" spans="1:379" s="7" customFormat="1" outlineLevel="1">
      <c r="A4" s="6"/>
    </row>
    <row r="5" spans="1:379" s="7" customFormat="1" outlineLevel="1">
      <c r="A5" s="6"/>
    </row>
    <row r="6" spans="1:379" s="7" customFormat="1" outlineLevel="1">
      <c r="A6" s="6"/>
    </row>
    <row r="7" spans="1:379" s="7" customFormat="1" outlineLevel="1">
      <c r="A7" s="6"/>
    </row>
    <row r="8" spans="1:379" s="7" customFormat="1" outlineLevel="1">
      <c r="A8" s="6"/>
    </row>
    <row r="9" spans="1:379" s="7" customFormat="1" outlineLevel="1">
      <c r="A9" s="6"/>
    </row>
    <row r="10" spans="1:379" s="7" customFormat="1" outlineLevel="1">
      <c r="A10" s="6"/>
    </row>
    <row r="11" spans="1:379" s="7" customFormat="1" outlineLevel="1">
      <c r="A11" s="6"/>
    </row>
    <row r="12" spans="1:379" s="9" customFormat="1" outlineLevel="1">
      <c r="A12" s="6"/>
      <c r="B12" s="6"/>
      <c r="C12" s="6"/>
      <c r="D12" s="6"/>
      <c r="E12" s="6"/>
      <c r="F12" s="6"/>
      <c r="G12" s="6"/>
      <c r="H12" s="8"/>
      <c r="I12" s="8"/>
      <c r="J12" s="8"/>
      <c r="K12" s="6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379" s="7" customFormat="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5">
        <v>45292</v>
      </c>
      <c r="O13" s="15">
        <v>45293</v>
      </c>
      <c r="P13" s="15">
        <v>45294</v>
      </c>
      <c r="Q13" s="15">
        <v>45295</v>
      </c>
      <c r="R13" s="15">
        <v>45296</v>
      </c>
      <c r="S13" s="15">
        <v>45297</v>
      </c>
      <c r="T13" s="15">
        <v>45298</v>
      </c>
      <c r="U13" s="15">
        <v>45299</v>
      </c>
      <c r="V13" s="15">
        <v>45300</v>
      </c>
      <c r="W13" s="15">
        <v>45301</v>
      </c>
      <c r="X13" s="15">
        <v>45302</v>
      </c>
      <c r="Y13" s="15">
        <v>45303</v>
      </c>
      <c r="Z13" s="15">
        <v>45304</v>
      </c>
      <c r="AA13" s="15">
        <v>45305</v>
      </c>
      <c r="AB13" s="15">
        <v>45306</v>
      </c>
      <c r="AC13" s="15">
        <v>45307</v>
      </c>
      <c r="AD13" s="15">
        <v>45308</v>
      </c>
      <c r="AE13" s="15">
        <v>45309</v>
      </c>
      <c r="AF13" s="15">
        <v>45310</v>
      </c>
      <c r="AG13" s="15">
        <v>45311</v>
      </c>
      <c r="AH13" s="15">
        <v>45312</v>
      </c>
      <c r="AI13" s="15">
        <v>45313</v>
      </c>
      <c r="AJ13" s="15">
        <v>45314</v>
      </c>
      <c r="AK13" s="15">
        <v>45315</v>
      </c>
      <c r="AL13" s="15">
        <v>45316</v>
      </c>
      <c r="AM13" s="15">
        <v>45317</v>
      </c>
      <c r="AN13" s="15">
        <v>45318</v>
      </c>
      <c r="AO13" s="15">
        <v>45319</v>
      </c>
      <c r="AP13" s="15">
        <v>45320</v>
      </c>
      <c r="AQ13" s="15">
        <v>45321</v>
      </c>
      <c r="AR13" s="15">
        <v>45322</v>
      </c>
      <c r="AS13" s="15">
        <v>45323</v>
      </c>
      <c r="AT13" s="15">
        <v>45324</v>
      </c>
      <c r="AU13" s="15">
        <v>45325</v>
      </c>
      <c r="AV13" s="15">
        <v>45326</v>
      </c>
      <c r="AW13" s="15">
        <v>45327</v>
      </c>
      <c r="AX13" s="15">
        <v>45328</v>
      </c>
      <c r="AY13" s="15">
        <v>45329</v>
      </c>
      <c r="AZ13" s="15">
        <v>45330</v>
      </c>
      <c r="BA13" s="15">
        <v>45331</v>
      </c>
      <c r="BB13" s="15">
        <v>45332</v>
      </c>
      <c r="BC13" s="15">
        <v>45333</v>
      </c>
      <c r="BD13" s="15">
        <v>45334</v>
      </c>
      <c r="BE13" s="15">
        <v>45335</v>
      </c>
      <c r="BF13" s="15">
        <v>45336</v>
      </c>
      <c r="BG13" s="15">
        <v>45337</v>
      </c>
      <c r="BH13" s="15">
        <v>45338</v>
      </c>
      <c r="BI13" s="15">
        <v>45339</v>
      </c>
      <c r="BJ13" s="15">
        <v>45340</v>
      </c>
      <c r="BK13" s="15">
        <v>45341</v>
      </c>
      <c r="BL13" s="15">
        <v>45342</v>
      </c>
      <c r="BM13" s="15">
        <v>45343</v>
      </c>
      <c r="BN13" s="15">
        <v>45344</v>
      </c>
      <c r="BO13" s="15">
        <v>45345</v>
      </c>
      <c r="BP13" s="15">
        <v>45346</v>
      </c>
      <c r="BQ13" s="15">
        <v>45347</v>
      </c>
      <c r="BR13" s="15">
        <v>45348</v>
      </c>
      <c r="BS13" s="15">
        <v>45349</v>
      </c>
      <c r="BT13" s="15">
        <v>45350</v>
      </c>
      <c r="BU13" s="15">
        <v>45351</v>
      </c>
      <c r="BV13" s="15">
        <v>45352</v>
      </c>
      <c r="BW13" s="15">
        <v>45353</v>
      </c>
      <c r="BX13" s="15">
        <v>45354</v>
      </c>
      <c r="BY13" s="15">
        <v>45355</v>
      </c>
      <c r="BZ13" s="15">
        <v>45356</v>
      </c>
      <c r="CA13" s="15">
        <v>45357</v>
      </c>
      <c r="CB13" s="15">
        <v>45358</v>
      </c>
      <c r="CC13" s="15">
        <v>45359</v>
      </c>
      <c r="CD13" s="15">
        <v>45360</v>
      </c>
      <c r="CE13" s="15">
        <v>45361</v>
      </c>
      <c r="CF13" s="15">
        <v>45362</v>
      </c>
      <c r="CG13" s="15">
        <v>45363</v>
      </c>
      <c r="CH13" s="15">
        <v>45364</v>
      </c>
      <c r="CI13" s="15">
        <v>45365</v>
      </c>
      <c r="CJ13" s="15">
        <v>45366</v>
      </c>
      <c r="CK13" s="15">
        <v>45367</v>
      </c>
      <c r="CL13" s="15">
        <v>45368</v>
      </c>
      <c r="CM13" s="15">
        <v>45369</v>
      </c>
      <c r="CN13" s="15">
        <v>45370</v>
      </c>
      <c r="CO13" s="15">
        <v>45371</v>
      </c>
      <c r="CP13" s="15">
        <v>45372</v>
      </c>
      <c r="CQ13" s="15">
        <v>45373</v>
      </c>
      <c r="CR13" s="15">
        <v>45374</v>
      </c>
      <c r="CS13" s="15">
        <v>45375</v>
      </c>
      <c r="CT13" s="15">
        <v>45376</v>
      </c>
      <c r="CU13" s="15">
        <v>45377</v>
      </c>
      <c r="CV13" s="15">
        <v>45378</v>
      </c>
      <c r="CW13" s="15">
        <v>45379</v>
      </c>
      <c r="CX13" s="15">
        <v>45380</v>
      </c>
      <c r="CY13" s="15">
        <v>45381</v>
      </c>
      <c r="CZ13" s="15">
        <v>45382</v>
      </c>
      <c r="DA13" s="15">
        <v>45383</v>
      </c>
      <c r="DB13" s="15">
        <v>45384</v>
      </c>
      <c r="DC13" s="15">
        <v>45385</v>
      </c>
      <c r="DD13" s="15">
        <v>45386</v>
      </c>
      <c r="DE13" s="15">
        <v>45387</v>
      </c>
      <c r="DF13" s="15">
        <v>45388</v>
      </c>
      <c r="DG13" s="15">
        <v>45389</v>
      </c>
      <c r="DH13" s="15">
        <v>45390</v>
      </c>
      <c r="DI13" s="15">
        <v>45391</v>
      </c>
      <c r="DJ13" s="15">
        <v>45392</v>
      </c>
      <c r="DK13" s="15">
        <v>45393</v>
      </c>
      <c r="DL13" s="15">
        <v>45394</v>
      </c>
      <c r="DM13" s="15">
        <v>45395</v>
      </c>
      <c r="DN13" s="15">
        <v>45396</v>
      </c>
      <c r="DO13" s="15">
        <v>45397</v>
      </c>
      <c r="DP13" s="15">
        <v>45398</v>
      </c>
      <c r="DQ13" s="15">
        <v>45399</v>
      </c>
      <c r="DR13" s="15">
        <v>45400</v>
      </c>
      <c r="DS13" s="15">
        <v>45401</v>
      </c>
      <c r="DT13" s="15">
        <v>45402</v>
      </c>
      <c r="DU13" s="15">
        <v>45403</v>
      </c>
      <c r="DV13" s="15">
        <v>45404</v>
      </c>
      <c r="DW13" s="15">
        <v>45405</v>
      </c>
      <c r="DX13" s="15">
        <v>45406</v>
      </c>
      <c r="DY13" s="15">
        <v>45407</v>
      </c>
      <c r="DZ13" s="15">
        <v>45408</v>
      </c>
      <c r="EA13" s="15">
        <v>45409</v>
      </c>
      <c r="EB13" s="15">
        <v>45410</v>
      </c>
      <c r="EC13" s="15">
        <v>45411</v>
      </c>
      <c r="ED13" s="15">
        <v>45412</v>
      </c>
      <c r="EE13" s="15">
        <v>45413</v>
      </c>
      <c r="EF13" s="15">
        <v>45414</v>
      </c>
      <c r="EG13" s="15">
        <v>45415</v>
      </c>
      <c r="EH13" s="15">
        <v>45416</v>
      </c>
      <c r="EI13" s="15">
        <v>45417</v>
      </c>
      <c r="EJ13" s="15">
        <v>45418</v>
      </c>
      <c r="EK13" s="15">
        <v>45419</v>
      </c>
      <c r="EL13" s="15">
        <v>45420</v>
      </c>
      <c r="EM13" s="15">
        <v>45421</v>
      </c>
      <c r="EN13" s="15">
        <v>45422</v>
      </c>
      <c r="EO13" s="15">
        <v>45423</v>
      </c>
      <c r="EP13" s="15">
        <v>45424</v>
      </c>
      <c r="EQ13" s="15">
        <v>45425</v>
      </c>
      <c r="ER13" s="15">
        <v>45426</v>
      </c>
      <c r="ES13" s="15">
        <v>45427</v>
      </c>
      <c r="ET13" s="15">
        <v>45428</v>
      </c>
      <c r="EU13" s="15">
        <v>45429</v>
      </c>
      <c r="EV13" s="15">
        <v>45430</v>
      </c>
      <c r="EW13" s="15">
        <v>45431</v>
      </c>
      <c r="EX13" s="15">
        <v>45432</v>
      </c>
      <c r="EY13" s="15">
        <v>45433</v>
      </c>
      <c r="EZ13" s="15">
        <v>45434</v>
      </c>
      <c r="FA13" s="15">
        <v>45435</v>
      </c>
      <c r="FB13" s="15">
        <v>45436</v>
      </c>
      <c r="FC13" s="15">
        <v>45437</v>
      </c>
      <c r="FD13" s="15">
        <v>45438</v>
      </c>
      <c r="FE13" s="15">
        <v>45439</v>
      </c>
      <c r="FF13" s="15">
        <v>45440</v>
      </c>
      <c r="FG13" s="15">
        <v>45441</v>
      </c>
      <c r="FH13" s="15">
        <v>45442</v>
      </c>
      <c r="FI13" s="15">
        <v>45443</v>
      </c>
      <c r="FJ13" s="15">
        <v>45444</v>
      </c>
      <c r="FK13" s="15">
        <v>45445</v>
      </c>
      <c r="FL13" s="15">
        <v>45446</v>
      </c>
      <c r="FM13" s="15">
        <v>45447</v>
      </c>
      <c r="FN13" s="15">
        <v>45448</v>
      </c>
      <c r="FO13" s="15">
        <v>45449</v>
      </c>
      <c r="FP13" s="15">
        <v>45450</v>
      </c>
      <c r="FQ13" s="15">
        <v>45451</v>
      </c>
      <c r="FR13" s="15">
        <v>45452</v>
      </c>
      <c r="FS13" s="15">
        <v>45453</v>
      </c>
      <c r="FT13" s="15">
        <v>45454</v>
      </c>
      <c r="FU13" s="15">
        <v>45455</v>
      </c>
      <c r="FV13" s="15">
        <v>45456</v>
      </c>
      <c r="FW13" s="15">
        <v>45457</v>
      </c>
      <c r="FX13" s="15">
        <v>45458</v>
      </c>
      <c r="FY13" s="15">
        <v>45459</v>
      </c>
      <c r="FZ13" s="15">
        <v>45460</v>
      </c>
      <c r="GA13" s="15">
        <v>45461</v>
      </c>
      <c r="GB13" s="15">
        <v>45462</v>
      </c>
      <c r="GC13" s="15">
        <v>45463</v>
      </c>
      <c r="GD13" s="15">
        <v>45464</v>
      </c>
      <c r="GE13" s="15">
        <v>45465</v>
      </c>
      <c r="GF13" s="15">
        <v>45466</v>
      </c>
      <c r="GG13" s="15">
        <v>45467</v>
      </c>
      <c r="GH13" s="15">
        <v>45468</v>
      </c>
      <c r="GI13" s="15">
        <v>45469</v>
      </c>
      <c r="GJ13" s="15">
        <v>45470</v>
      </c>
      <c r="GK13" s="15">
        <v>45471</v>
      </c>
      <c r="GL13" s="15">
        <v>45472</v>
      </c>
      <c r="GM13" s="15">
        <v>45473</v>
      </c>
      <c r="GN13" s="15">
        <v>45474</v>
      </c>
      <c r="GO13" s="15">
        <v>45475</v>
      </c>
      <c r="GP13" s="15">
        <v>45476</v>
      </c>
      <c r="GQ13" s="15">
        <v>45477</v>
      </c>
      <c r="GR13" s="15">
        <v>45478</v>
      </c>
      <c r="GS13" s="15">
        <v>45479</v>
      </c>
      <c r="GT13" s="15">
        <v>45480</v>
      </c>
      <c r="GU13" s="15">
        <v>45481</v>
      </c>
      <c r="GV13" s="15">
        <v>45482</v>
      </c>
      <c r="GW13" s="15">
        <v>45483</v>
      </c>
      <c r="GX13" s="15">
        <v>45484</v>
      </c>
      <c r="GY13" s="15">
        <v>45485</v>
      </c>
      <c r="GZ13" s="15">
        <v>45486</v>
      </c>
      <c r="HA13" s="15">
        <v>45487</v>
      </c>
      <c r="HB13" s="15">
        <v>45488</v>
      </c>
      <c r="HC13" s="15">
        <v>45489</v>
      </c>
      <c r="HD13" s="15">
        <v>45490</v>
      </c>
      <c r="HE13" s="15">
        <v>45491</v>
      </c>
      <c r="HF13" s="15">
        <v>45492</v>
      </c>
      <c r="HG13" s="15">
        <v>45493</v>
      </c>
      <c r="HH13" s="15">
        <v>45494</v>
      </c>
      <c r="HI13" s="15">
        <v>45495</v>
      </c>
      <c r="HJ13" s="15">
        <v>45496</v>
      </c>
      <c r="HK13" s="15">
        <v>45497</v>
      </c>
      <c r="HL13" s="15">
        <v>45498</v>
      </c>
      <c r="HM13" s="15">
        <v>45499</v>
      </c>
      <c r="HN13" s="15">
        <v>45500</v>
      </c>
      <c r="HO13" s="15">
        <v>45501</v>
      </c>
      <c r="HP13" s="15">
        <v>45502</v>
      </c>
      <c r="HQ13" s="15">
        <v>45503</v>
      </c>
      <c r="HR13" s="15">
        <v>45504</v>
      </c>
      <c r="HS13" s="15">
        <v>45505</v>
      </c>
      <c r="HT13" s="15">
        <v>45506</v>
      </c>
      <c r="HU13" s="15">
        <v>45507</v>
      </c>
      <c r="HV13" s="15">
        <v>45508</v>
      </c>
      <c r="HW13" s="15">
        <v>45509</v>
      </c>
      <c r="HX13" s="15">
        <v>45510</v>
      </c>
      <c r="HY13" s="15">
        <v>45511</v>
      </c>
      <c r="HZ13" s="15">
        <v>45512</v>
      </c>
      <c r="IA13" s="15">
        <v>45513</v>
      </c>
      <c r="IB13" s="15">
        <v>45514</v>
      </c>
      <c r="IC13" s="15">
        <v>45515</v>
      </c>
      <c r="ID13" s="15">
        <v>45516</v>
      </c>
      <c r="IE13" s="15">
        <v>45517</v>
      </c>
      <c r="IF13" s="15">
        <v>45518</v>
      </c>
      <c r="IG13" s="15">
        <v>45519</v>
      </c>
      <c r="IH13" s="15">
        <v>45520</v>
      </c>
      <c r="II13" s="15">
        <v>45521</v>
      </c>
      <c r="IJ13" s="15">
        <v>45522</v>
      </c>
      <c r="IK13" s="15">
        <v>45523</v>
      </c>
      <c r="IL13" s="15">
        <v>45524</v>
      </c>
      <c r="IM13" s="15">
        <v>45525</v>
      </c>
      <c r="IN13" s="15">
        <v>45526</v>
      </c>
      <c r="IO13" s="15">
        <v>45527</v>
      </c>
      <c r="IP13" s="15">
        <v>45528</v>
      </c>
      <c r="IQ13" s="15">
        <v>45529</v>
      </c>
      <c r="IR13" s="15">
        <v>45530</v>
      </c>
      <c r="IS13" s="15">
        <v>45531</v>
      </c>
      <c r="IT13" s="15">
        <v>45532</v>
      </c>
      <c r="IU13" s="15">
        <v>45533</v>
      </c>
      <c r="IV13" s="15">
        <v>45534</v>
      </c>
      <c r="IW13" s="15">
        <v>45535</v>
      </c>
      <c r="IX13" s="15">
        <v>45536</v>
      </c>
      <c r="IY13" s="15">
        <v>45537</v>
      </c>
      <c r="IZ13" s="15">
        <v>45538</v>
      </c>
      <c r="JA13" s="15">
        <v>45539</v>
      </c>
      <c r="JB13" s="15">
        <v>45540</v>
      </c>
      <c r="JC13" s="15">
        <v>45541</v>
      </c>
      <c r="JD13" s="15">
        <v>45542</v>
      </c>
      <c r="JE13" s="15">
        <v>45543</v>
      </c>
      <c r="JF13" s="15">
        <v>45544</v>
      </c>
      <c r="JG13" s="15">
        <v>45545</v>
      </c>
      <c r="JH13" s="15">
        <v>45546</v>
      </c>
      <c r="JI13" s="15">
        <v>45547</v>
      </c>
      <c r="JJ13" s="15">
        <v>45548</v>
      </c>
      <c r="JK13" s="15">
        <v>45549</v>
      </c>
      <c r="JL13" s="15">
        <v>45550</v>
      </c>
      <c r="JM13" s="15">
        <v>45551</v>
      </c>
      <c r="JN13" s="15">
        <v>45552</v>
      </c>
      <c r="JO13" s="15">
        <v>45553</v>
      </c>
      <c r="JP13" s="15">
        <v>45554</v>
      </c>
      <c r="JQ13" s="15">
        <v>45555</v>
      </c>
      <c r="JR13" s="15">
        <v>45556</v>
      </c>
      <c r="JS13" s="15">
        <v>45557</v>
      </c>
      <c r="JT13" s="15">
        <v>45558</v>
      </c>
      <c r="JU13" s="15">
        <v>45559</v>
      </c>
      <c r="JV13" s="15">
        <v>45560</v>
      </c>
      <c r="JW13" s="15">
        <v>45561</v>
      </c>
      <c r="JX13" s="15">
        <v>45562</v>
      </c>
      <c r="JY13" s="15">
        <v>45563</v>
      </c>
      <c r="JZ13" s="15">
        <v>45564</v>
      </c>
      <c r="KA13" s="15">
        <v>45565</v>
      </c>
      <c r="KB13" s="15">
        <v>45566</v>
      </c>
      <c r="KC13" s="15">
        <v>45567</v>
      </c>
      <c r="KD13" s="15">
        <v>45568</v>
      </c>
      <c r="KE13" s="15">
        <v>45569</v>
      </c>
      <c r="KF13" s="15">
        <v>45570</v>
      </c>
      <c r="KG13" s="15">
        <v>45571</v>
      </c>
      <c r="KH13" s="15">
        <v>45572</v>
      </c>
      <c r="KI13" s="15">
        <v>45573</v>
      </c>
      <c r="KJ13" s="15">
        <v>45574</v>
      </c>
      <c r="KK13" s="15">
        <v>45575</v>
      </c>
      <c r="KL13" s="15">
        <v>45576</v>
      </c>
      <c r="KM13" s="15">
        <v>45577</v>
      </c>
      <c r="KN13" s="15">
        <v>45578</v>
      </c>
      <c r="KO13" s="15">
        <v>45579</v>
      </c>
      <c r="KP13" s="15">
        <v>45580</v>
      </c>
      <c r="KQ13" s="15">
        <v>45581</v>
      </c>
      <c r="KR13" s="15">
        <v>45582</v>
      </c>
      <c r="KS13" s="15">
        <v>45583</v>
      </c>
      <c r="KT13" s="15">
        <v>45584</v>
      </c>
      <c r="KU13" s="15">
        <v>45585</v>
      </c>
      <c r="KV13" s="15">
        <v>45586</v>
      </c>
      <c r="KW13" s="15">
        <v>45587</v>
      </c>
      <c r="KX13" s="15">
        <v>45588</v>
      </c>
      <c r="KY13" s="15">
        <v>45589</v>
      </c>
      <c r="KZ13" s="15">
        <v>45590</v>
      </c>
      <c r="LA13" s="15">
        <v>45591</v>
      </c>
      <c r="LB13" s="15">
        <v>45592</v>
      </c>
      <c r="LC13" s="15">
        <v>45593</v>
      </c>
      <c r="LD13" s="15">
        <v>45594</v>
      </c>
      <c r="LE13" s="15">
        <v>45595</v>
      </c>
      <c r="LF13" s="15">
        <v>45596</v>
      </c>
      <c r="LG13" s="15">
        <v>45597</v>
      </c>
      <c r="LH13" s="15">
        <v>45598</v>
      </c>
      <c r="LI13" s="15">
        <v>45599</v>
      </c>
      <c r="LJ13" s="15">
        <v>45600</v>
      </c>
      <c r="LK13" s="15">
        <v>45601</v>
      </c>
      <c r="LL13" s="15">
        <v>45602</v>
      </c>
      <c r="LM13" s="15">
        <v>45603</v>
      </c>
      <c r="LN13" s="15">
        <v>45604</v>
      </c>
      <c r="LO13" s="15">
        <v>45605</v>
      </c>
      <c r="LP13" s="15">
        <v>45606</v>
      </c>
      <c r="LQ13" s="15">
        <v>45607</v>
      </c>
      <c r="LR13" s="15">
        <v>45608</v>
      </c>
      <c r="LS13" s="15">
        <v>45609</v>
      </c>
      <c r="LT13" s="15">
        <v>45610</v>
      </c>
      <c r="LU13" s="15">
        <v>45611</v>
      </c>
      <c r="LV13" s="15">
        <v>45612</v>
      </c>
      <c r="LW13" s="15">
        <v>45613</v>
      </c>
      <c r="LX13" s="15">
        <v>45614</v>
      </c>
      <c r="LY13" s="15">
        <v>45615</v>
      </c>
      <c r="LZ13" s="15">
        <v>45616</v>
      </c>
      <c r="MA13" s="15">
        <v>45617</v>
      </c>
      <c r="MB13" s="15">
        <v>45618</v>
      </c>
      <c r="MC13" s="15">
        <v>45619</v>
      </c>
      <c r="MD13" s="15">
        <v>45620</v>
      </c>
      <c r="ME13" s="15">
        <v>45621</v>
      </c>
      <c r="MF13" s="15">
        <v>45622</v>
      </c>
      <c r="MG13" s="15">
        <v>45623</v>
      </c>
      <c r="MH13" s="15">
        <v>45624</v>
      </c>
      <c r="MI13" s="15">
        <v>45625</v>
      </c>
      <c r="MJ13" s="15">
        <v>45626</v>
      </c>
      <c r="MK13" s="15">
        <v>45627</v>
      </c>
      <c r="ML13" s="15">
        <v>45628</v>
      </c>
      <c r="MM13" s="15">
        <v>45629</v>
      </c>
      <c r="MN13" s="15">
        <v>45630</v>
      </c>
      <c r="MO13" s="15">
        <v>45631</v>
      </c>
      <c r="MP13" s="15">
        <v>45632</v>
      </c>
      <c r="MQ13" s="15">
        <v>45633</v>
      </c>
      <c r="MR13" s="15">
        <v>45634</v>
      </c>
      <c r="MS13" s="15">
        <v>45635</v>
      </c>
      <c r="MT13" s="15">
        <v>45636</v>
      </c>
      <c r="MU13" s="15">
        <v>45637</v>
      </c>
      <c r="MV13" s="15">
        <v>45638</v>
      </c>
      <c r="MW13" s="15">
        <v>45639</v>
      </c>
      <c r="MX13" s="15">
        <v>45640</v>
      </c>
      <c r="MY13" s="15">
        <v>45641</v>
      </c>
      <c r="MZ13" s="15">
        <v>45642</v>
      </c>
      <c r="NA13" s="15">
        <v>45643</v>
      </c>
      <c r="NB13" s="15">
        <v>45644</v>
      </c>
      <c r="NC13" s="15">
        <v>45645</v>
      </c>
      <c r="ND13" s="15">
        <v>45646</v>
      </c>
      <c r="NE13" s="15">
        <v>45647</v>
      </c>
      <c r="NF13" s="15">
        <v>45648</v>
      </c>
      <c r="NG13" s="15">
        <v>45649</v>
      </c>
      <c r="NH13" s="15">
        <v>45650</v>
      </c>
      <c r="NI13" s="15">
        <v>45651</v>
      </c>
      <c r="NJ13" s="15">
        <v>45652</v>
      </c>
      <c r="NK13" s="15">
        <v>45653</v>
      </c>
      <c r="NL13" s="15">
        <v>45654</v>
      </c>
      <c r="NM13" s="15">
        <v>45655</v>
      </c>
      <c r="NN13" s="15">
        <v>45656</v>
      </c>
      <c r="NO13" s="15">
        <v>45657</v>
      </c>
    </row>
    <row r="14" spans="1:379" s="7" customFormat="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6">
        <v>45292</v>
      </c>
      <c r="O14" s="16">
        <v>45293</v>
      </c>
      <c r="P14" s="16">
        <v>45294</v>
      </c>
      <c r="Q14" s="16">
        <v>45295</v>
      </c>
      <c r="R14" s="16">
        <v>45296</v>
      </c>
      <c r="S14" s="16">
        <v>45297</v>
      </c>
      <c r="T14" s="16">
        <v>45298</v>
      </c>
      <c r="U14" s="16">
        <v>45299</v>
      </c>
      <c r="V14" s="16">
        <v>45300</v>
      </c>
      <c r="W14" s="16">
        <v>45301</v>
      </c>
      <c r="X14" s="16">
        <v>45302</v>
      </c>
      <c r="Y14" s="16">
        <v>45303</v>
      </c>
      <c r="Z14" s="16">
        <v>45304</v>
      </c>
      <c r="AA14" s="16">
        <v>45305</v>
      </c>
      <c r="AB14" s="16">
        <v>45306</v>
      </c>
      <c r="AC14" s="16">
        <v>45307</v>
      </c>
      <c r="AD14" s="16">
        <v>45308</v>
      </c>
      <c r="AE14" s="16">
        <v>45309</v>
      </c>
      <c r="AF14" s="16">
        <v>45310</v>
      </c>
      <c r="AG14" s="16">
        <v>45311</v>
      </c>
      <c r="AH14" s="16">
        <v>45312</v>
      </c>
      <c r="AI14" s="16">
        <v>45313</v>
      </c>
      <c r="AJ14" s="16">
        <v>45314</v>
      </c>
      <c r="AK14" s="16">
        <v>45315</v>
      </c>
      <c r="AL14" s="16">
        <v>45316</v>
      </c>
      <c r="AM14" s="16">
        <v>45317</v>
      </c>
      <c r="AN14" s="16">
        <v>45318</v>
      </c>
      <c r="AO14" s="16">
        <v>45319</v>
      </c>
      <c r="AP14" s="16">
        <v>45320</v>
      </c>
      <c r="AQ14" s="16">
        <v>45321</v>
      </c>
      <c r="AR14" s="16">
        <v>45322</v>
      </c>
      <c r="AS14" s="16">
        <v>45323</v>
      </c>
      <c r="AT14" s="16">
        <v>45324</v>
      </c>
      <c r="AU14" s="16">
        <v>45325</v>
      </c>
      <c r="AV14" s="16">
        <v>45326</v>
      </c>
      <c r="AW14" s="16">
        <v>45327</v>
      </c>
      <c r="AX14" s="16">
        <v>45328</v>
      </c>
      <c r="AY14" s="16">
        <v>45329</v>
      </c>
      <c r="AZ14" s="16">
        <v>45330</v>
      </c>
      <c r="BA14" s="16">
        <v>45331</v>
      </c>
      <c r="BB14" s="16">
        <v>45332</v>
      </c>
      <c r="BC14" s="16">
        <v>45333</v>
      </c>
      <c r="BD14" s="16">
        <v>45334</v>
      </c>
      <c r="BE14" s="16">
        <v>45335</v>
      </c>
      <c r="BF14" s="16">
        <v>45336</v>
      </c>
      <c r="BG14" s="16">
        <v>45337</v>
      </c>
      <c r="BH14" s="16">
        <v>45338</v>
      </c>
      <c r="BI14" s="16">
        <v>45339</v>
      </c>
      <c r="BJ14" s="16">
        <v>45340</v>
      </c>
      <c r="BK14" s="16">
        <v>45341</v>
      </c>
      <c r="BL14" s="16">
        <v>45342</v>
      </c>
      <c r="BM14" s="16">
        <v>45343</v>
      </c>
      <c r="BN14" s="16">
        <v>45344</v>
      </c>
      <c r="BO14" s="16">
        <v>45345</v>
      </c>
      <c r="BP14" s="16">
        <v>45346</v>
      </c>
      <c r="BQ14" s="16">
        <v>45347</v>
      </c>
      <c r="BR14" s="16">
        <v>45348</v>
      </c>
      <c r="BS14" s="16">
        <v>45349</v>
      </c>
      <c r="BT14" s="16">
        <v>45350</v>
      </c>
      <c r="BU14" s="16">
        <v>45351</v>
      </c>
      <c r="BV14" s="16">
        <v>45352</v>
      </c>
      <c r="BW14" s="16">
        <v>45353</v>
      </c>
      <c r="BX14" s="16">
        <v>45354</v>
      </c>
      <c r="BY14" s="16">
        <v>45355</v>
      </c>
      <c r="BZ14" s="16">
        <v>45356</v>
      </c>
      <c r="CA14" s="16">
        <v>45357</v>
      </c>
      <c r="CB14" s="16">
        <v>45358</v>
      </c>
      <c r="CC14" s="16">
        <v>45359</v>
      </c>
      <c r="CD14" s="16">
        <v>45360</v>
      </c>
      <c r="CE14" s="16">
        <v>45361</v>
      </c>
      <c r="CF14" s="16">
        <v>45362</v>
      </c>
      <c r="CG14" s="16">
        <v>45363</v>
      </c>
      <c r="CH14" s="16">
        <v>45364</v>
      </c>
      <c r="CI14" s="16">
        <v>45365</v>
      </c>
      <c r="CJ14" s="16">
        <v>45366</v>
      </c>
      <c r="CK14" s="16">
        <v>45367</v>
      </c>
      <c r="CL14" s="16">
        <v>45368</v>
      </c>
      <c r="CM14" s="16">
        <v>45369</v>
      </c>
      <c r="CN14" s="16">
        <v>45370</v>
      </c>
      <c r="CO14" s="16">
        <v>45371</v>
      </c>
      <c r="CP14" s="16">
        <v>45372</v>
      </c>
      <c r="CQ14" s="16">
        <v>45373</v>
      </c>
      <c r="CR14" s="16">
        <v>45374</v>
      </c>
      <c r="CS14" s="16">
        <v>45375</v>
      </c>
      <c r="CT14" s="16">
        <v>45376</v>
      </c>
      <c r="CU14" s="16">
        <v>45377</v>
      </c>
      <c r="CV14" s="16">
        <v>45378</v>
      </c>
      <c r="CW14" s="16">
        <v>45379</v>
      </c>
      <c r="CX14" s="16">
        <v>45380</v>
      </c>
      <c r="CY14" s="16">
        <v>45381</v>
      </c>
      <c r="CZ14" s="16">
        <v>45382</v>
      </c>
      <c r="DA14" s="16">
        <v>45383</v>
      </c>
      <c r="DB14" s="16">
        <v>45384</v>
      </c>
      <c r="DC14" s="16">
        <v>45385</v>
      </c>
      <c r="DD14" s="16">
        <v>45386</v>
      </c>
      <c r="DE14" s="16">
        <v>45387</v>
      </c>
      <c r="DF14" s="16">
        <v>45388</v>
      </c>
      <c r="DG14" s="16">
        <v>45389</v>
      </c>
      <c r="DH14" s="16">
        <v>45390</v>
      </c>
      <c r="DI14" s="16">
        <v>45391</v>
      </c>
      <c r="DJ14" s="16">
        <v>45392</v>
      </c>
      <c r="DK14" s="16">
        <v>45393</v>
      </c>
      <c r="DL14" s="16">
        <v>45394</v>
      </c>
      <c r="DM14" s="16">
        <v>45395</v>
      </c>
      <c r="DN14" s="16">
        <v>45396</v>
      </c>
      <c r="DO14" s="16">
        <v>45397</v>
      </c>
      <c r="DP14" s="16">
        <v>45398</v>
      </c>
      <c r="DQ14" s="16">
        <v>45399</v>
      </c>
      <c r="DR14" s="16">
        <v>45400</v>
      </c>
      <c r="DS14" s="16">
        <v>45401</v>
      </c>
      <c r="DT14" s="16">
        <v>45402</v>
      </c>
      <c r="DU14" s="16">
        <v>45403</v>
      </c>
      <c r="DV14" s="16">
        <v>45404</v>
      </c>
      <c r="DW14" s="16">
        <v>45405</v>
      </c>
      <c r="DX14" s="16">
        <v>45406</v>
      </c>
      <c r="DY14" s="16">
        <v>45407</v>
      </c>
      <c r="DZ14" s="16">
        <v>45408</v>
      </c>
      <c r="EA14" s="16">
        <v>45409</v>
      </c>
      <c r="EB14" s="16">
        <v>45410</v>
      </c>
      <c r="EC14" s="16">
        <v>45411</v>
      </c>
      <c r="ED14" s="16">
        <v>45412</v>
      </c>
      <c r="EE14" s="16">
        <v>45413</v>
      </c>
      <c r="EF14" s="16">
        <v>45414</v>
      </c>
      <c r="EG14" s="16">
        <v>45415</v>
      </c>
      <c r="EH14" s="16">
        <v>45416</v>
      </c>
      <c r="EI14" s="16">
        <v>45417</v>
      </c>
      <c r="EJ14" s="16">
        <v>45418</v>
      </c>
      <c r="EK14" s="16">
        <v>45419</v>
      </c>
      <c r="EL14" s="16">
        <v>45420</v>
      </c>
      <c r="EM14" s="16">
        <v>45421</v>
      </c>
      <c r="EN14" s="16">
        <v>45422</v>
      </c>
      <c r="EO14" s="16">
        <v>45423</v>
      </c>
      <c r="EP14" s="16">
        <v>45424</v>
      </c>
      <c r="EQ14" s="16">
        <v>45425</v>
      </c>
      <c r="ER14" s="16">
        <v>45426</v>
      </c>
      <c r="ES14" s="16">
        <v>45427</v>
      </c>
      <c r="ET14" s="16">
        <v>45428</v>
      </c>
      <c r="EU14" s="16">
        <v>45429</v>
      </c>
      <c r="EV14" s="16">
        <v>45430</v>
      </c>
      <c r="EW14" s="16">
        <v>45431</v>
      </c>
      <c r="EX14" s="16">
        <v>45432</v>
      </c>
      <c r="EY14" s="16">
        <v>45433</v>
      </c>
      <c r="EZ14" s="16">
        <v>45434</v>
      </c>
      <c r="FA14" s="16">
        <v>45435</v>
      </c>
      <c r="FB14" s="16">
        <v>45436</v>
      </c>
      <c r="FC14" s="16">
        <v>45437</v>
      </c>
      <c r="FD14" s="16">
        <v>45438</v>
      </c>
      <c r="FE14" s="16">
        <v>45439</v>
      </c>
      <c r="FF14" s="16">
        <v>45440</v>
      </c>
      <c r="FG14" s="16">
        <v>45441</v>
      </c>
      <c r="FH14" s="16">
        <v>45442</v>
      </c>
      <c r="FI14" s="16">
        <v>45443</v>
      </c>
      <c r="FJ14" s="16">
        <v>45444</v>
      </c>
      <c r="FK14" s="16">
        <v>45445</v>
      </c>
      <c r="FL14" s="16">
        <v>45446</v>
      </c>
      <c r="FM14" s="16">
        <v>45447</v>
      </c>
      <c r="FN14" s="16">
        <v>45448</v>
      </c>
      <c r="FO14" s="16">
        <v>45449</v>
      </c>
      <c r="FP14" s="16">
        <v>45450</v>
      </c>
      <c r="FQ14" s="16">
        <v>45451</v>
      </c>
      <c r="FR14" s="16">
        <v>45452</v>
      </c>
      <c r="FS14" s="16">
        <v>45453</v>
      </c>
      <c r="FT14" s="16">
        <v>45454</v>
      </c>
      <c r="FU14" s="16">
        <v>45455</v>
      </c>
      <c r="FV14" s="16">
        <v>45456</v>
      </c>
      <c r="FW14" s="16">
        <v>45457</v>
      </c>
      <c r="FX14" s="16">
        <v>45458</v>
      </c>
      <c r="FY14" s="16">
        <v>45459</v>
      </c>
      <c r="FZ14" s="16">
        <v>45460</v>
      </c>
      <c r="GA14" s="16">
        <v>45461</v>
      </c>
      <c r="GB14" s="16">
        <v>45462</v>
      </c>
      <c r="GC14" s="16">
        <v>45463</v>
      </c>
      <c r="GD14" s="16">
        <v>45464</v>
      </c>
      <c r="GE14" s="16">
        <v>45465</v>
      </c>
      <c r="GF14" s="16">
        <v>45466</v>
      </c>
      <c r="GG14" s="16">
        <v>45467</v>
      </c>
      <c r="GH14" s="16">
        <v>45468</v>
      </c>
      <c r="GI14" s="16">
        <v>45469</v>
      </c>
      <c r="GJ14" s="16">
        <v>45470</v>
      </c>
      <c r="GK14" s="16">
        <v>45471</v>
      </c>
      <c r="GL14" s="16">
        <v>45472</v>
      </c>
      <c r="GM14" s="16">
        <v>45473</v>
      </c>
      <c r="GN14" s="16">
        <v>45474</v>
      </c>
      <c r="GO14" s="16">
        <v>45475</v>
      </c>
      <c r="GP14" s="16">
        <v>45476</v>
      </c>
      <c r="GQ14" s="16">
        <v>45477</v>
      </c>
      <c r="GR14" s="16">
        <v>45478</v>
      </c>
      <c r="GS14" s="16">
        <v>45479</v>
      </c>
      <c r="GT14" s="16">
        <v>45480</v>
      </c>
      <c r="GU14" s="16">
        <v>45481</v>
      </c>
      <c r="GV14" s="16">
        <v>45482</v>
      </c>
      <c r="GW14" s="16">
        <v>45483</v>
      </c>
      <c r="GX14" s="16">
        <v>45484</v>
      </c>
      <c r="GY14" s="16">
        <v>45485</v>
      </c>
      <c r="GZ14" s="16">
        <v>45486</v>
      </c>
      <c r="HA14" s="16">
        <v>45487</v>
      </c>
      <c r="HB14" s="16">
        <v>45488</v>
      </c>
      <c r="HC14" s="16">
        <v>45489</v>
      </c>
      <c r="HD14" s="16">
        <v>45490</v>
      </c>
      <c r="HE14" s="16">
        <v>45491</v>
      </c>
      <c r="HF14" s="16">
        <v>45492</v>
      </c>
      <c r="HG14" s="16">
        <v>45493</v>
      </c>
      <c r="HH14" s="16">
        <v>45494</v>
      </c>
      <c r="HI14" s="16">
        <v>45495</v>
      </c>
      <c r="HJ14" s="16">
        <v>45496</v>
      </c>
      <c r="HK14" s="16">
        <v>45497</v>
      </c>
      <c r="HL14" s="16">
        <v>45498</v>
      </c>
      <c r="HM14" s="16">
        <v>45499</v>
      </c>
      <c r="HN14" s="16">
        <v>45500</v>
      </c>
      <c r="HO14" s="16">
        <v>45501</v>
      </c>
      <c r="HP14" s="16">
        <v>45502</v>
      </c>
      <c r="HQ14" s="16">
        <v>45503</v>
      </c>
      <c r="HR14" s="16">
        <v>45504</v>
      </c>
      <c r="HS14" s="16">
        <v>45505</v>
      </c>
      <c r="HT14" s="16">
        <v>45506</v>
      </c>
      <c r="HU14" s="16">
        <v>45507</v>
      </c>
      <c r="HV14" s="16">
        <v>45508</v>
      </c>
      <c r="HW14" s="16">
        <v>45509</v>
      </c>
      <c r="HX14" s="16">
        <v>45510</v>
      </c>
      <c r="HY14" s="16">
        <v>45511</v>
      </c>
      <c r="HZ14" s="16">
        <v>45512</v>
      </c>
      <c r="IA14" s="16">
        <v>45513</v>
      </c>
      <c r="IB14" s="16">
        <v>45514</v>
      </c>
      <c r="IC14" s="16">
        <v>45515</v>
      </c>
      <c r="ID14" s="16">
        <v>45516</v>
      </c>
      <c r="IE14" s="16">
        <v>45517</v>
      </c>
      <c r="IF14" s="16">
        <v>45518</v>
      </c>
      <c r="IG14" s="16">
        <v>45519</v>
      </c>
      <c r="IH14" s="16">
        <v>45520</v>
      </c>
      <c r="II14" s="16">
        <v>45521</v>
      </c>
      <c r="IJ14" s="16">
        <v>45522</v>
      </c>
      <c r="IK14" s="16">
        <v>45523</v>
      </c>
      <c r="IL14" s="16">
        <v>45524</v>
      </c>
      <c r="IM14" s="16">
        <v>45525</v>
      </c>
      <c r="IN14" s="16">
        <v>45526</v>
      </c>
      <c r="IO14" s="16">
        <v>45527</v>
      </c>
      <c r="IP14" s="16">
        <v>45528</v>
      </c>
      <c r="IQ14" s="16">
        <v>45529</v>
      </c>
      <c r="IR14" s="16">
        <v>45530</v>
      </c>
      <c r="IS14" s="16">
        <v>45531</v>
      </c>
      <c r="IT14" s="16">
        <v>45532</v>
      </c>
      <c r="IU14" s="16">
        <v>45533</v>
      </c>
      <c r="IV14" s="16">
        <v>45534</v>
      </c>
      <c r="IW14" s="16">
        <v>45535</v>
      </c>
      <c r="IX14" s="16">
        <v>45536</v>
      </c>
      <c r="IY14" s="16">
        <v>45537</v>
      </c>
      <c r="IZ14" s="16">
        <v>45538</v>
      </c>
      <c r="JA14" s="16">
        <v>45539</v>
      </c>
      <c r="JB14" s="16">
        <v>45540</v>
      </c>
      <c r="JC14" s="16">
        <v>45541</v>
      </c>
      <c r="JD14" s="16">
        <v>45542</v>
      </c>
      <c r="JE14" s="16">
        <v>45543</v>
      </c>
      <c r="JF14" s="16">
        <v>45544</v>
      </c>
      <c r="JG14" s="16">
        <v>45545</v>
      </c>
      <c r="JH14" s="16">
        <v>45546</v>
      </c>
      <c r="JI14" s="16">
        <v>45547</v>
      </c>
      <c r="JJ14" s="16">
        <v>45548</v>
      </c>
      <c r="JK14" s="16">
        <v>45549</v>
      </c>
      <c r="JL14" s="16">
        <v>45550</v>
      </c>
      <c r="JM14" s="16">
        <v>45551</v>
      </c>
      <c r="JN14" s="16">
        <v>45552</v>
      </c>
      <c r="JO14" s="16">
        <v>45553</v>
      </c>
      <c r="JP14" s="16">
        <v>45554</v>
      </c>
      <c r="JQ14" s="16">
        <v>45555</v>
      </c>
      <c r="JR14" s="16">
        <v>45556</v>
      </c>
      <c r="JS14" s="16">
        <v>45557</v>
      </c>
      <c r="JT14" s="16">
        <v>45558</v>
      </c>
      <c r="JU14" s="16">
        <v>45559</v>
      </c>
      <c r="JV14" s="16">
        <v>45560</v>
      </c>
      <c r="JW14" s="16">
        <v>45561</v>
      </c>
      <c r="JX14" s="16">
        <v>45562</v>
      </c>
      <c r="JY14" s="16">
        <v>45563</v>
      </c>
      <c r="JZ14" s="16">
        <v>45564</v>
      </c>
      <c r="KA14" s="16">
        <v>45565</v>
      </c>
      <c r="KB14" s="16">
        <v>45566</v>
      </c>
      <c r="KC14" s="16">
        <v>45567</v>
      </c>
      <c r="KD14" s="16">
        <v>45568</v>
      </c>
      <c r="KE14" s="16">
        <v>45569</v>
      </c>
      <c r="KF14" s="16">
        <v>45570</v>
      </c>
      <c r="KG14" s="16">
        <v>45571</v>
      </c>
      <c r="KH14" s="16">
        <v>45572</v>
      </c>
      <c r="KI14" s="16">
        <v>45573</v>
      </c>
      <c r="KJ14" s="16">
        <v>45574</v>
      </c>
      <c r="KK14" s="16">
        <v>45575</v>
      </c>
      <c r="KL14" s="16">
        <v>45576</v>
      </c>
      <c r="KM14" s="16">
        <v>45577</v>
      </c>
      <c r="KN14" s="16">
        <v>45578</v>
      </c>
      <c r="KO14" s="16">
        <v>45579</v>
      </c>
      <c r="KP14" s="16">
        <v>45580</v>
      </c>
      <c r="KQ14" s="16">
        <v>45581</v>
      </c>
      <c r="KR14" s="16">
        <v>45582</v>
      </c>
      <c r="KS14" s="16">
        <v>45583</v>
      </c>
      <c r="KT14" s="16">
        <v>45584</v>
      </c>
      <c r="KU14" s="16">
        <v>45585</v>
      </c>
      <c r="KV14" s="16">
        <v>45586</v>
      </c>
      <c r="KW14" s="16">
        <v>45587</v>
      </c>
      <c r="KX14" s="16">
        <v>45588</v>
      </c>
      <c r="KY14" s="16">
        <v>45589</v>
      </c>
      <c r="KZ14" s="16">
        <v>45590</v>
      </c>
      <c r="LA14" s="16">
        <v>45591</v>
      </c>
      <c r="LB14" s="16">
        <v>45592</v>
      </c>
      <c r="LC14" s="16">
        <v>45593</v>
      </c>
      <c r="LD14" s="16">
        <v>45594</v>
      </c>
      <c r="LE14" s="16">
        <v>45595</v>
      </c>
      <c r="LF14" s="16">
        <v>45596</v>
      </c>
      <c r="LG14" s="16">
        <v>45597</v>
      </c>
      <c r="LH14" s="16">
        <v>45598</v>
      </c>
      <c r="LI14" s="16">
        <v>45599</v>
      </c>
      <c r="LJ14" s="16">
        <v>45600</v>
      </c>
      <c r="LK14" s="16">
        <v>45601</v>
      </c>
      <c r="LL14" s="16">
        <v>45602</v>
      </c>
      <c r="LM14" s="16">
        <v>45603</v>
      </c>
      <c r="LN14" s="16">
        <v>45604</v>
      </c>
      <c r="LO14" s="16">
        <v>45605</v>
      </c>
      <c r="LP14" s="16">
        <v>45606</v>
      </c>
      <c r="LQ14" s="16">
        <v>45607</v>
      </c>
      <c r="LR14" s="16">
        <v>45608</v>
      </c>
      <c r="LS14" s="16">
        <v>45609</v>
      </c>
      <c r="LT14" s="16">
        <v>45610</v>
      </c>
      <c r="LU14" s="16">
        <v>45611</v>
      </c>
      <c r="LV14" s="16">
        <v>45612</v>
      </c>
      <c r="LW14" s="16">
        <v>45613</v>
      </c>
      <c r="LX14" s="16">
        <v>45614</v>
      </c>
      <c r="LY14" s="16">
        <v>45615</v>
      </c>
      <c r="LZ14" s="16">
        <v>45616</v>
      </c>
      <c r="MA14" s="16">
        <v>45617</v>
      </c>
      <c r="MB14" s="16">
        <v>45618</v>
      </c>
      <c r="MC14" s="16">
        <v>45619</v>
      </c>
      <c r="MD14" s="16">
        <v>45620</v>
      </c>
      <c r="ME14" s="16">
        <v>45621</v>
      </c>
      <c r="MF14" s="16">
        <v>45622</v>
      </c>
      <c r="MG14" s="16">
        <v>45623</v>
      </c>
      <c r="MH14" s="16">
        <v>45624</v>
      </c>
      <c r="MI14" s="16">
        <v>45625</v>
      </c>
      <c r="MJ14" s="16">
        <v>45626</v>
      </c>
      <c r="MK14" s="16">
        <v>45627</v>
      </c>
      <c r="ML14" s="16">
        <v>45628</v>
      </c>
      <c r="MM14" s="16">
        <v>45629</v>
      </c>
      <c r="MN14" s="16">
        <v>45630</v>
      </c>
      <c r="MO14" s="16">
        <v>45631</v>
      </c>
      <c r="MP14" s="16">
        <v>45632</v>
      </c>
      <c r="MQ14" s="16">
        <v>45633</v>
      </c>
      <c r="MR14" s="16">
        <v>45634</v>
      </c>
      <c r="MS14" s="16">
        <v>45635</v>
      </c>
      <c r="MT14" s="16">
        <v>45636</v>
      </c>
      <c r="MU14" s="16">
        <v>45637</v>
      </c>
      <c r="MV14" s="16">
        <v>45638</v>
      </c>
      <c r="MW14" s="16">
        <v>45639</v>
      </c>
      <c r="MX14" s="16">
        <v>45640</v>
      </c>
      <c r="MY14" s="16">
        <v>45641</v>
      </c>
      <c r="MZ14" s="16">
        <v>45642</v>
      </c>
      <c r="NA14" s="16">
        <v>45643</v>
      </c>
      <c r="NB14" s="16">
        <v>45644</v>
      </c>
      <c r="NC14" s="16">
        <v>45645</v>
      </c>
      <c r="ND14" s="16">
        <v>45646</v>
      </c>
      <c r="NE14" s="16">
        <v>45647</v>
      </c>
      <c r="NF14" s="16">
        <v>45648</v>
      </c>
      <c r="NG14" s="16">
        <v>45649</v>
      </c>
      <c r="NH14" s="16">
        <v>45650</v>
      </c>
      <c r="NI14" s="16">
        <v>45651</v>
      </c>
      <c r="NJ14" s="16">
        <v>45652</v>
      </c>
      <c r="NK14" s="16">
        <v>45653</v>
      </c>
      <c r="NL14" s="16">
        <v>45654</v>
      </c>
      <c r="NM14" s="16">
        <v>45655</v>
      </c>
      <c r="NN14" s="16">
        <v>45656</v>
      </c>
      <c r="NO14" s="16">
        <v>45657</v>
      </c>
    </row>
    <row r="15" spans="1:379" s="7" customFormat="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7">
        <v>45292</v>
      </c>
      <c r="O15" s="17">
        <v>45293</v>
      </c>
      <c r="P15" s="17">
        <v>45294</v>
      </c>
      <c r="Q15" s="17">
        <v>45295</v>
      </c>
      <c r="R15" s="17">
        <v>45296</v>
      </c>
      <c r="S15" s="17">
        <v>45297</v>
      </c>
      <c r="T15" s="17">
        <v>45298</v>
      </c>
      <c r="U15" s="17">
        <v>45299</v>
      </c>
      <c r="V15" s="17">
        <v>45300</v>
      </c>
      <c r="W15" s="17">
        <v>45301</v>
      </c>
      <c r="X15" s="17">
        <v>45302</v>
      </c>
      <c r="Y15" s="17">
        <v>45303</v>
      </c>
      <c r="Z15" s="17">
        <v>45304</v>
      </c>
      <c r="AA15" s="17">
        <v>45305</v>
      </c>
      <c r="AB15" s="17">
        <v>45306</v>
      </c>
      <c r="AC15" s="17">
        <v>45307</v>
      </c>
      <c r="AD15" s="17">
        <v>45308</v>
      </c>
      <c r="AE15" s="17">
        <v>45309</v>
      </c>
      <c r="AF15" s="17">
        <v>45310</v>
      </c>
      <c r="AG15" s="17">
        <v>45311</v>
      </c>
      <c r="AH15" s="17">
        <v>45312</v>
      </c>
      <c r="AI15" s="17">
        <v>45313</v>
      </c>
      <c r="AJ15" s="17">
        <v>45314</v>
      </c>
      <c r="AK15" s="17">
        <v>45315</v>
      </c>
      <c r="AL15" s="17">
        <v>45316</v>
      </c>
      <c r="AM15" s="17">
        <v>45317</v>
      </c>
      <c r="AN15" s="17">
        <v>45318</v>
      </c>
      <c r="AO15" s="17">
        <v>45319</v>
      </c>
      <c r="AP15" s="17">
        <v>45320</v>
      </c>
      <c r="AQ15" s="17">
        <v>45321</v>
      </c>
      <c r="AR15" s="17">
        <v>45322</v>
      </c>
      <c r="AS15" s="17">
        <v>45323</v>
      </c>
      <c r="AT15" s="17">
        <v>45324</v>
      </c>
      <c r="AU15" s="17">
        <v>45325</v>
      </c>
      <c r="AV15" s="17">
        <v>45326</v>
      </c>
      <c r="AW15" s="17">
        <v>45327</v>
      </c>
      <c r="AX15" s="17">
        <v>45328</v>
      </c>
      <c r="AY15" s="17">
        <v>45329</v>
      </c>
      <c r="AZ15" s="17">
        <v>45330</v>
      </c>
      <c r="BA15" s="17">
        <v>45331</v>
      </c>
      <c r="BB15" s="17">
        <v>45332</v>
      </c>
      <c r="BC15" s="17">
        <v>45333</v>
      </c>
      <c r="BD15" s="17">
        <v>45334</v>
      </c>
      <c r="BE15" s="17">
        <v>45335</v>
      </c>
      <c r="BF15" s="17">
        <v>45336</v>
      </c>
      <c r="BG15" s="17">
        <v>45337</v>
      </c>
      <c r="BH15" s="17">
        <v>45338</v>
      </c>
      <c r="BI15" s="17">
        <v>45339</v>
      </c>
      <c r="BJ15" s="17">
        <v>45340</v>
      </c>
      <c r="BK15" s="17">
        <v>45341</v>
      </c>
      <c r="BL15" s="17">
        <v>45342</v>
      </c>
      <c r="BM15" s="17">
        <v>45343</v>
      </c>
      <c r="BN15" s="17">
        <v>45344</v>
      </c>
      <c r="BO15" s="17">
        <v>45345</v>
      </c>
      <c r="BP15" s="17">
        <v>45346</v>
      </c>
      <c r="BQ15" s="17">
        <v>45347</v>
      </c>
      <c r="BR15" s="17">
        <v>45348</v>
      </c>
      <c r="BS15" s="17">
        <v>45349</v>
      </c>
      <c r="BT15" s="17">
        <v>45350</v>
      </c>
      <c r="BU15" s="17">
        <v>45351</v>
      </c>
      <c r="BV15" s="17">
        <v>45352</v>
      </c>
      <c r="BW15" s="17">
        <v>45353</v>
      </c>
      <c r="BX15" s="17">
        <v>45354</v>
      </c>
      <c r="BY15" s="17">
        <v>45355</v>
      </c>
      <c r="BZ15" s="17">
        <v>45356</v>
      </c>
      <c r="CA15" s="17">
        <v>45357</v>
      </c>
      <c r="CB15" s="17">
        <v>45358</v>
      </c>
      <c r="CC15" s="17">
        <v>45359</v>
      </c>
      <c r="CD15" s="17">
        <v>45360</v>
      </c>
      <c r="CE15" s="17">
        <v>45361</v>
      </c>
      <c r="CF15" s="17">
        <v>45362</v>
      </c>
      <c r="CG15" s="17">
        <v>45363</v>
      </c>
      <c r="CH15" s="17">
        <v>45364</v>
      </c>
      <c r="CI15" s="17">
        <v>45365</v>
      </c>
      <c r="CJ15" s="17">
        <v>45366</v>
      </c>
      <c r="CK15" s="17">
        <v>45367</v>
      </c>
      <c r="CL15" s="17">
        <v>45368</v>
      </c>
      <c r="CM15" s="17">
        <v>45369</v>
      </c>
      <c r="CN15" s="17">
        <v>45370</v>
      </c>
      <c r="CO15" s="17">
        <v>45371</v>
      </c>
      <c r="CP15" s="17">
        <v>45372</v>
      </c>
      <c r="CQ15" s="17">
        <v>45373</v>
      </c>
      <c r="CR15" s="17">
        <v>45374</v>
      </c>
      <c r="CS15" s="17">
        <v>45375</v>
      </c>
      <c r="CT15" s="17">
        <v>45376</v>
      </c>
      <c r="CU15" s="17">
        <v>45377</v>
      </c>
      <c r="CV15" s="17">
        <v>45378</v>
      </c>
      <c r="CW15" s="17">
        <v>45379</v>
      </c>
      <c r="CX15" s="17">
        <v>45380</v>
      </c>
      <c r="CY15" s="17">
        <v>45381</v>
      </c>
      <c r="CZ15" s="17">
        <v>45382</v>
      </c>
      <c r="DA15" s="17">
        <v>45383</v>
      </c>
      <c r="DB15" s="17">
        <v>45384</v>
      </c>
      <c r="DC15" s="17">
        <v>45385</v>
      </c>
      <c r="DD15" s="17">
        <v>45386</v>
      </c>
      <c r="DE15" s="17">
        <v>45387</v>
      </c>
      <c r="DF15" s="17">
        <v>45388</v>
      </c>
      <c r="DG15" s="17">
        <v>45389</v>
      </c>
      <c r="DH15" s="17">
        <v>45390</v>
      </c>
      <c r="DI15" s="17">
        <v>45391</v>
      </c>
      <c r="DJ15" s="17">
        <v>45392</v>
      </c>
      <c r="DK15" s="17">
        <v>45393</v>
      </c>
      <c r="DL15" s="17">
        <v>45394</v>
      </c>
      <c r="DM15" s="17">
        <v>45395</v>
      </c>
      <c r="DN15" s="17">
        <v>45396</v>
      </c>
      <c r="DO15" s="17">
        <v>45397</v>
      </c>
      <c r="DP15" s="17">
        <v>45398</v>
      </c>
      <c r="DQ15" s="17">
        <v>45399</v>
      </c>
      <c r="DR15" s="17">
        <v>45400</v>
      </c>
      <c r="DS15" s="17">
        <v>45401</v>
      </c>
      <c r="DT15" s="17">
        <v>45402</v>
      </c>
      <c r="DU15" s="17">
        <v>45403</v>
      </c>
      <c r="DV15" s="17">
        <v>45404</v>
      </c>
      <c r="DW15" s="17">
        <v>45405</v>
      </c>
      <c r="DX15" s="17">
        <v>45406</v>
      </c>
      <c r="DY15" s="17">
        <v>45407</v>
      </c>
      <c r="DZ15" s="17">
        <v>45408</v>
      </c>
      <c r="EA15" s="17">
        <v>45409</v>
      </c>
      <c r="EB15" s="17">
        <v>45410</v>
      </c>
      <c r="EC15" s="17">
        <v>45411</v>
      </c>
      <c r="ED15" s="17">
        <v>45412</v>
      </c>
      <c r="EE15" s="17">
        <v>45413</v>
      </c>
      <c r="EF15" s="17">
        <v>45414</v>
      </c>
      <c r="EG15" s="17">
        <v>45415</v>
      </c>
      <c r="EH15" s="17">
        <v>45416</v>
      </c>
      <c r="EI15" s="17">
        <v>45417</v>
      </c>
      <c r="EJ15" s="17">
        <v>45418</v>
      </c>
      <c r="EK15" s="17">
        <v>45419</v>
      </c>
      <c r="EL15" s="17">
        <v>45420</v>
      </c>
      <c r="EM15" s="17">
        <v>45421</v>
      </c>
      <c r="EN15" s="17">
        <v>45422</v>
      </c>
      <c r="EO15" s="17">
        <v>45423</v>
      </c>
      <c r="EP15" s="17">
        <v>45424</v>
      </c>
      <c r="EQ15" s="17">
        <v>45425</v>
      </c>
      <c r="ER15" s="17">
        <v>45426</v>
      </c>
      <c r="ES15" s="17">
        <v>45427</v>
      </c>
      <c r="ET15" s="17">
        <v>45428</v>
      </c>
      <c r="EU15" s="17">
        <v>45429</v>
      </c>
      <c r="EV15" s="17">
        <v>45430</v>
      </c>
      <c r="EW15" s="17">
        <v>45431</v>
      </c>
      <c r="EX15" s="17">
        <v>45432</v>
      </c>
      <c r="EY15" s="17">
        <v>45433</v>
      </c>
      <c r="EZ15" s="17">
        <v>45434</v>
      </c>
      <c r="FA15" s="17">
        <v>45435</v>
      </c>
      <c r="FB15" s="17">
        <v>45436</v>
      </c>
      <c r="FC15" s="17">
        <v>45437</v>
      </c>
      <c r="FD15" s="17">
        <v>45438</v>
      </c>
      <c r="FE15" s="17">
        <v>45439</v>
      </c>
      <c r="FF15" s="17">
        <v>45440</v>
      </c>
      <c r="FG15" s="17">
        <v>45441</v>
      </c>
      <c r="FH15" s="17">
        <v>45442</v>
      </c>
      <c r="FI15" s="17">
        <v>45443</v>
      </c>
      <c r="FJ15" s="17">
        <v>45444</v>
      </c>
      <c r="FK15" s="17">
        <v>45445</v>
      </c>
      <c r="FL15" s="17">
        <v>45446</v>
      </c>
      <c r="FM15" s="17">
        <v>45447</v>
      </c>
      <c r="FN15" s="17">
        <v>45448</v>
      </c>
      <c r="FO15" s="17">
        <v>45449</v>
      </c>
      <c r="FP15" s="17">
        <v>45450</v>
      </c>
      <c r="FQ15" s="17">
        <v>45451</v>
      </c>
      <c r="FR15" s="17">
        <v>45452</v>
      </c>
      <c r="FS15" s="17">
        <v>45453</v>
      </c>
      <c r="FT15" s="17">
        <v>45454</v>
      </c>
      <c r="FU15" s="17">
        <v>45455</v>
      </c>
      <c r="FV15" s="17">
        <v>45456</v>
      </c>
      <c r="FW15" s="17">
        <v>45457</v>
      </c>
      <c r="FX15" s="17">
        <v>45458</v>
      </c>
      <c r="FY15" s="17">
        <v>45459</v>
      </c>
      <c r="FZ15" s="17">
        <v>45460</v>
      </c>
      <c r="GA15" s="17">
        <v>45461</v>
      </c>
      <c r="GB15" s="17">
        <v>45462</v>
      </c>
      <c r="GC15" s="17">
        <v>45463</v>
      </c>
      <c r="GD15" s="17">
        <v>45464</v>
      </c>
      <c r="GE15" s="17">
        <v>45465</v>
      </c>
      <c r="GF15" s="17">
        <v>45466</v>
      </c>
      <c r="GG15" s="17">
        <v>45467</v>
      </c>
      <c r="GH15" s="17">
        <v>45468</v>
      </c>
      <c r="GI15" s="17">
        <v>45469</v>
      </c>
      <c r="GJ15" s="17">
        <v>45470</v>
      </c>
      <c r="GK15" s="17">
        <v>45471</v>
      </c>
      <c r="GL15" s="17">
        <v>45472</v>
      </c>
      <c r="GM15" s="17">
        <v>45473</v>
      </c>
      <c r="GN15" s="17">
        <v>45474</v>
      </c>
      <c r="GO15" s="17">
        <v>45475</v>
      </c>
      <c r="GP15" s="17">
        <v>45476</v>
      </c>
      <c r="GQ15" s="17">
        <v>45477</v>
      </c>
      <c r="GR15" s="17">
        <v>45478</v>
      </c>
      <c r="GS15" s="17">
        <v>45479</v>
      </c>
      <c r="GT15" s="17">
        <v>45480</v>
      </c>
      <c r="GU15" s="17">
        <v>45481</v>
      </c>
      <c r="GV15" s="17">
        <v>45482</v>
      </c>
      <c r="GW15" s="17">
        <v>45483</v>
      </c>
      <c r="GX15" s="17">
        <v>45484</v>
      </c>
      <c r="GY15" s="17">
        <v>45485</v>
      </c>
      <c r="GZ15" s="17">
        <v>45486</v>
      </c>
      <c r="HA15" s="17">
        <v>45487</v>
      </c>
      <c r="HB15" s="17">
        <v>45488</v>
      </c>
      <c r="HC15" s="17">
        <v>45489</v>
      </c>
      <c r="HD15" s="17">
        <v>45490</v>
      </c>
      <c r="HE15" s="17">
        <v>45491</v>
      </c>
      <c r="HF15" s="17">
        <v>45492</v>
      </c>
      <c r="HG15" s="17">
        <v>45493</v>
      </c>
      <c r="HH15" s="17">
        <v>45494</v>
      </c>
      <c r="HI15" s="17">
        <v>45495</v>
      </c>
      <c r="HJ15" s="17">
        <v>45496</v>
      </c>
      <c r="HK15" s="17">
        <v>45497</v>
      </c>
      <c r="HL15" s="17">
        <v>45498</v>
      </c>
      <c r="HM15" s="17">
        <v>45499</v>
      </c>
      <c r="HN15" s="17">
        <v>45500</v>
      </c>
      <c r="HO15" s="17">
        <v>45501</v>
      </c>
      <c r="HP15" s="17">
        <v>45502</v>
      </c>
      <c r="HQ15" s="17">
        <v>45503</v>
      </c>
      <c r="HR15" s="17">
        <v>45504</v>
      </c>
      <c r="HS15" s="17">
        <v>45505</v>
      </c>
      <c r="HT15" s="17">
        <v>45506</v>
      </c>
      <c r="HU15" s="17">
        <v>45507</v>
      </c>
      <c r="HV15" s="17">
        <v>45508</v>
      </c>
      <c r="HW15" s="17">
        <v>45509</v>
      </c>
      <c r="HX15" s="17">
        <v>45510</v>
      </c>
      <c r="HY15" s="17">
        <v>45511</v>
      </c>
      <c r="HZ15" s="17">
        <v>45512</v>
      </c>
      <c r="IA15" s="17">
        <v>45513</v>
      </c>
      <c r="IB15" s="17">
        <v>45514</v>
      </c>
      <c r="IC15" s="17">
        <v>45515</v>
      </c>
      <c r="ID15" s="17">
        <v>45516</v>
      </c>
      <c r="IE15" s="17">
        <v>45517</v>
      </c>
      <c r="IF15" s="17">
        <v>45518</v>
      </c>
      <c r="IG15" s="17">
        <v>45519</v>
      </c>
      <c r="IH15" s="17">
        <v>45520</v>
      </c>
      <c r="II15" s="17">
        <v>45521</v>
      </c>
      <c r="IJ15" s="17">
        <v>45522</v>
      </c>
      <c r="IK15" s="17">
        <v>45523</v>
      </c>
      <c r="IL15" s="17">
        <v>45524</v>
      </c>
      <c r="IM15" s="17">
        <v>45525</v>
      </c>
      <c r="IN15" s="17">
        <v>45526</v>
      </c>
      <c r="IO15" s="17">
        <v>45527</v>
      </c>
      <c r="IP15" s="17">
        <v>45528</v>
      </c>
      <c r="IQ15" s="17">
        <v>45529</v>
      </c>
      <c r="IR15" s="17">
        <v>45530</v>
      </c>
      <c r="IS15" s="17">
        <v>45531</v>
      </c>
      <c r="IT15" s="17">
        <v>45532</v>
      </c>
      <c r="IU15" s="17">
        <v>45533</v>
      </c>
      <c r="IV15" s="17">
        <v>45534</v>
      </c>
      <c r="IW15" s="17">
        <v>45535</v>
      </c>
      <c r="IX15" s="17">
        <v>45536</v>
      </c>
      <c r="IY15" s="17">
        <v>45537</v>
      </c>
      <c r="IZ15" s="17">
        <v>45538</v>
      </c>
      <c r="JA15" s="17">
        <v>45539</v>
      </c>
      <c r="JB15" s="17">
        <v>45540</v>
      </c>
      <c r="JC15" s="17">
        <v>45541</v>
      </c>
      <c r="JD15" s="17">
        <v>45542</v>
      </c>
      <c r="JE15" s="17">
        <v>45543</v>
      </c>
      <c r="JF15" s="17">
        <v>45544</v>
      </c>
      <c r="JG15" s="17">
        <v>45545</v>
      </c>
      <c r="JH15" s="17">
        <v>45546</v>
      </c>
      <c r="JI15" s="17">
        <v>45547</v>
      </c>
      <c r="JJ15" s="17">
        <v>45548</v>
      </c>
      <c r="JK15" s="17">
        <v>45549</v>
      </c>
      <c r="JL15" s="17">
        <v>45550</v>
      </c>
      <c r="JM15" s="17">
        <v>45551</v>
      </c>
      <c r="JN15" s="17">
        <v>45552</v>
      </c>
      <c r="JO15" s="17">
        <v>45553</v>
      </c>
      <c r="JP15" s="17">
        <v>45554</v>
      </c>
      <c r="JQ15" s="17">
        <v>45555</v>
      </c>
      <c r="JR15" s="17">
        <v>45556</v>
      </c>
      <c r="JS15" s="17">
        <v>45557</v>
      </c>
      <c r="JT15" s="17">
        <v>45558</v>
      </c>
      <c r="JU15" s="17">
        <v>45559</v>
      </c>
      <c r="JV15" s="17">
        <v>45560</v>
      </c>
      <c r="JW15" s="17">
        <v>45561</v>
      </c>
      <c r="JX15" s="17">
        <v>45562</v>
      </c>
      <c r="JY15" s="17">
        <v>45563</v>
      </c>
      <c r="JZ15" s="17">
        <v>45564</v>
      </c>
      <c r="KA15" s="17">
        <v>45565</v>
      </c>
      <c r="KB15" s="17">
        <v>45566</v>
      </c>
      <c r="KC15" s="17">
        <v>45567</v>
      </c>
      <c r="KD15" s="17">
        <v>45568</v>
      </c>
      <c r="KE15" s="17">
        <v>45569</v>
      </c>
      <c r="KF15" s="17">
        <v>45570</v>
      </c>
      <c r="KG15" s="17">
        <v>45571</v>
      </c>
      <c r="KH15" s="17">
        <v>45572</v>
      </c>
      <c r="KI15" s="17">
        <v>45573</v>
      </c>
      <c r="KJ15" s="17">
        <v>45574</v>
      </c>
      <c r="KK15" s="17">
        <v>45575</v>
      </c>
      <c r="KL15" s="17">
        <v>45576</v>
      </c>
      <c r="KM15" s="17">
        <v>45577</v>
      </c>
      <c r="KN15" s="17">
        <v>45578</v>
      </c>
      <c r="KO15" s="17">
        <v>45579</v>
      </c>
      <c r="KP15" s="17">
        <v>45580</v>
      </c>
      <c r="KQ15" s="17">
        <v>45581</v>
      </c>
      <c r="KR15" s="17">
        <v>45582</v>
      </c>
      <c r="KS15" s="17">
        <v>45583</v>
      </c>
      <c r="KT15" s="17">
        <v>45584</v>
      </c>
      <c r="KU15" s="17">
        <v>45585</v>
      </c>
      <c r="KV15" s="17">
        <v>45586</v>
      </c>
      <c r="KW15" s="17">
        <v>45587</v>
      </c>
      <c r="KX15" s="17">
        <v>45588</v>
      </c>
      <c r="KY15" s="17">
        <v>45589</v>
      </c>
      <c r="KZ15" s="17">
        <v>45590</v>
      </c>
      <c r="LA15" s="17">
        <v>45591</v>
      </c>
      <c r="LB15" s="17">
        <v>45592</v>
      </c>
      <c r="LC15" s="17">
        <v>45593</v>
      </c>
      <c r="LD15" s="17">
        <v>45594</v>
      </c>
      <c r="LE15" s="17">
        <v>45595</v>
      </c>
      <c r="LF15" s="17">
        <v>45596</v>
      </c>
      <c r="LG15" s="17">
        <v>45597</v>
      </c>
      <c r="LH15" s="17">
        <v>45598</v>
      </c>
      <c r="LI15" s="17">
        <v>45599</v>
      </c>
      <c r="LJ15" s="17">
        <v>45600</v>
      </c>
      <c r="LK15" s="17">
        <v>45601</v>
      </c>
      <c r="LL15" s="17">
        <v>45602</v>
      </c>
      <c r="LM15" s="17">
        <v>45603</v>
      </c>
      <c r="LN15" s="17">
        <v>45604</v>
      </c>
      <c r="LO15" s="17">
        <v>45605</v>
      </c>
      <c r="LP15" s="17">
        <v>45606</v>
      </c>
      <c r="LQ15" s="17">
        <v>45607</v>
      </c>
      <c r="LR15" s="17">
        <v>45608</v>
      </c>
      <c r="LS15" s="17">
        <v>45609</v>
      </c>
      <c r="LT15" s="17">
        <v>45610</v>
      </c>
      <c r="LU15" s="17">
        <v>45611</v>
      </c>
      <c r="LV15" s="17">
        <v>45612</v>
      </c>
      <c r="LW15" s="17">
        <v>45613</v>
      </c>
      <c r="LX15" s="17">
        <v>45614</v>
      </c>
      <c r="LY15" s="17">
        <v>45615</v>
      </c>
      <c r="LZ15" s="17">
        <v>45616</v>
      </c>
      <c r="MA15" s="17">
        <v>45617</v>
      </c>
      <c r="MB15" s="17">
        <v>45618</v>
      </c>
      <c r="MC15" s="17">
        <v>45619</v>
      </c>
      <c r="MD15" s="17">
        <v>45620</v>
      </c>
      <c r="ME15" s="17">
        <v>45621</v>
      </c>
      <c r="MF15" s="17">
        <v>45622</v>
      </c>
      <c r="MG15" s="17">
        <v>45623</v>
      </c>
      <c r="MH15" s="17">
        <v>45624</v>
      </c>
      <c r="MI15" s="17">
        <v>45625</v>
      </c>
      <c r="MJ15" s="17">
        <v>45626</v>
      </c>
      <c r="MK15" s="17">
        <v>45627</v>
      </c>
      <c r="ML15" s="17">
        <v>45628</v>
      </c>
      <c r="MM15" s="17">
        <v>45629</v>
      </c>
      <c r="MN15" s="17">
        <v>45630</v>
      </c>
      <c r="MO15" s="17">
        <v>45631</v>
      </c>
      <c r="MP15" s="17">
        <v>45632</v>
      </c>
      <c r="MQ15" s="17">
        <v>45633</v>
      </c>
      <c r="MR15" s="17">
        <v>45634</v>
      </c>
      <c r="MS15" s="17">
        <v>45635</v>
      </c>
      <c r="MT15" s="17">
        <v>45636</v>
      </c>
      <c r="MU15" s="17">
        <v>45637</v>
      </c>
      <c r="MV15" s="17">
        <v>45638</v>
      </c>
      <c r="MW15" s="17">
        <v>45639</v>
      </c>
      <c r="MX15" s="17">
        <v>45640</v>
      </c>
      <c r="MY15" s="17">
        <v>45641</v>
      </c>
      <c r="MZ15" s="17">
        <v>45642</v>
      </c>
      <c r="NA15" s="17">
        <v>45643</v>
      </c>
      <c r="NB15" s="17">
        <v>45644</v>
      </c>
      <c r="NC15" s="17">
        <v>45645</v>
      </c>
      <c r="ND15" s="17">
        <v>45646</v>
      </c>
      <c r="NE15" s="17">
        <v>45647</v>
      </c>
      <c r="NF15" s="17">
        <v>45648</v>
      </c>
      <c r="NG15" s="17">
        <v>45649</v>
      </c>
      <c r="NH15" s="17">
        <v>45650</v>
      </c>
      <c r="NI15" s="17">
        <v>45651</v>
      </c>
      <c r="NJ15" s="17">
        <v>45652</v>
      </c>
      <c r="NK15" s="17">
        <v>45653</v>
      </c>
      <c r="NL15" s="17">
        <v>45654</v>
      </c>
      <c r="NM15" s="17">
        <v>45655</v>
      </c>
      <c r="NN15" s="17">
        <v>45656</v>
      </c>
      <c r="NO15" s="17">
        <v>45657</v>
      </c>
    </row>
    <row r="16" spans="1:379" customFormat="1">
      <c r="A16" s="4" t="s">
        <v>37</v>
      </c>
      <c r="B16" s="4" t="s">
        <v>38</v>
      </c>
      <c r="C16" s="4" t="s">
        <v>22</v>
      </c>
      <c r="D16" s="4" t="s">
        <v>40</v>
      </c>
      <c r="E16" s="4" t="s">
        <v>41</v>
      </c>
      <c r="F16" s="4" t="s">
        <v>42</v>
      </c>
      <c r="G16" s="4" t="s">
        <v>0</v>
      </c>
      <c r="H16" s="5" t="s">
        <v>1</v>
      </c>
      <c r="I16" s="5" t="s">
        <v>43</v>
      </c>
      <c r="J16" s="5" t="s">
        <v>2</v>
      </c>
      <c r="K16" s="4" t="s">
        <v>23</v>
      </c>
      <c r="L16" s="4" t="s">
        <v>39</v>
      </c>
      <c r="M16" s="4" t="s">
        <v>3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1:379" customFormat="1">
      <c r="A17">
        <f t="shared" ref="A17:A36" si="0">ROW()-16</f>
        <v>1</v>
      </c>
      <c r="B17" t="s">
        <v>44</v>
      </c>
      <c r="C17" t="s">
        <v>63</v>
      </c>
      <c r="D17" t="s">
        <v>59</v>
      </c>
      <c r="E17" t="s">
        <v>61</v>
      </c>
      <c r="F17" t="s">
        <v>50</v>
      </c>
      <c r="G17" t="s">
        <v>28</v>
      </c>
      <c r="H17" s="3">
        <v>45413</v>
      </c>
      <c r="I17">
        <v>2</v>
      </c>
      <c r="J17" s="3">
        <f>WORKDAY(WBS[[#This Row],[開始日]],WBS[[#This Row],[所要日数]]-1,_祝日[日付])</f>
        <v>45414</v>
      </c>
      <c r="K17" t="s">
        <v>26</v>
      </c>
      <c r="L17" s="14">
        <v>1</v>
      </c>
      <c r="M17" s="10"/>
      <c r="N17" s="20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6"/>
    </row>
    <row r="18" spans="1:379">
      <c r="A18">
        <f t="shared" si="0"/>
        <v>2</v>
      </c>
      <c r="B18" s="11" t="s">
        <v>45</v>
      </c>
      <c r="C18" t="s">
        <v>56</v>
      </c>
      <c r="D18" t="s">
        <v>64</v>
      </c>
      <c r="E18" t="s">
        <v>62</v>
      </c>
      <c r="F18" t="s">
        <v>51</v>
      </c>
      <c r="G18" t="s">
        <v>28</v>
      </c>
      <c r="H18" s="3">
        <f>WORKDAY(J17,1,_祝日[日付])</f>
        <v>45419</v>
      </c>
      <c r="I18">
        <v>2</v>
      </c>
      <c r="J18" s="3">
        <f>WORKDAY(WBS[[#This Row],[開始日]],WBS[[#This Row],[所要日数]]-1,_祝日[日付])</f>
        <v>45420</v>
      </c>
      <c r="K18" t="s">
        <v>26</v>
      </c>
      <c r="L18" s="14">
        <v>1</v>
      </c>
      <c r="M18" s="10"/>
      <c r="N18" s="22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/>
      <c r="EO18" s="23"/>
      <c r="EP18" s="23"/>
      <c r="EQ18" s="23"/>
      <c r="ER18" s="23"/>
      <c r="ES18" s="23"/>
      <c r="ET18" s="23"/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/>
      <c r="FJ18" s="23"/>
      <c r="FK18" s="23"/>
      <c r="FL18" s="23"/>
      <c r="FM18" s="23"/>
      <c r="FN18" s="23"/>
      <c r="FO18" s="23"/>
      <c r="FP18" s="23"/>
      <c r="FQ18" s="23"/>
      <c r="FR18" s="23"/>
      <c r="FS18" s="23"/>
      <c r="FT18" s="23"/>
      <c r="FU18" s="23"/>
      <c r="FV18" s="23"/>
      <c r="FW18" s="23"/>
      <c r="FX18" s="23"/>
      <c r="FY18" s="23"/>
      <c r="FZ18" s="23"/>
      <c r="GA18" s="23"/>
      <c r="GB18" s="23"/>
      <c r="GC18" s="23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  <c r="IW18" s="23"/>
      <c r="IX18" s="23"/>
      <c r="IY18" s="23"/>
      <c r="IZ18" s="23"/>
      <c r="JA18" s="23"/>
      <c r="JB18" s="23"/>
      <c r="JC18" s="23"/>
      <c r="JD18" s="23"/>
      <c r="JE18" s="23"/>
      <c r="JF18" s="23"/>
      <c r="JG18" s="23"/>
      <c r="JH18" s="23"/>
      <c r="JI18" s="23"/>
      <c r="JJ18" s="23"/>
      <c r="JK18" s="23"/>
      <c r="JL18" s="23"/>
      <c r="JM18" s="23"/>
      <c r="JN18" s="23"/>
      <c r="JO18" s="23"/>
      <c r="JP18" s="23"/>
      <c r="JQ18" s="23"/>
      <c r="JR18" s="23"/>
      <c r="JS18" s="23"/>
      <c r="JT18" s="23"/>
      <c r="JU18" s="23"/>
      <c r="JV18" s="23"/>
      <c r="JW18" s="23"/>
      <c r="JX18" s="23"/>
      <c r="JY18" s="23"/>
      <c r="JZ18" s="23"/>
      <c r="KA18" s="23"/>
      <c r="KB18" s="23"/>
      <c r="KC18" s="23"/>
      <c r="KD18" s="23"/>
      <c r="KE18" s="23"/>
      <c r="KF18" s="23"/>
      <c r="KG18" s="23"/>
      <c r="KH18" s="23"/>
      <c r="KI18" s="23"/>
      <c r="KJ18" s="23"/>
      <c r="KK18" s="23"/>
      <c r="KL18" s="23"/>
      <c r="KM18" s="23"/>
      <c r="KN18" s="23"/>
      <c r="KO18" s="23"/>
      <c r="KP18" s="23"/>
      <c r="KQ18" s="23"/>
      <c r="KR18" s="23"/>
      <c r="KS18" s="23"/>
      <c r="KT18" s="23"/>
      <c r="KU18" s="23"/>
      <c r="KV18" s="23"/>
      <c r="KW18" s="23"/>
      <c r="KX18" s="23"/>
      <c r="KY18" s="23"/>
      <c r="KZ18" s="23"/>
      <c r="LA18" s="23"/>
      <c r="LB18" s="23"/>
      <c r="LC18" s="23"/>
      <c r="LD18" s="23"/>
      <c r="LE18" s="23"/>
      <c r="LF18" s="23"/>
      <c r="LG18" s="23"/>
      <c r="LH18" s="23"/>
      <c r="LI18" s="23"/>
      <c r="LJ18" s="23"/>
      <c r="LK18" s="23"/>
      <c r="LL18" s="23"/>
      <c r="LM18" s="23"/>
      <c r="LN18" s="23"/>
      <c r="LO18" s="23"/>
      <c r="LP18" s="23"/>
      <c r="LQ18" s="23"/>
      <c r="LR18" s="23"/>
      <c r="LS18" s="23"/>
      <c r="LT18" s="23"/>
      <c r="LU18" s="23"/>
      <c r="LV18" s="23"/>
      <c r="LW18" s="23"/>
      <c r="LX18" s="23"/>
      <c r="LY18" s="23"/>
      <c r="LZ18" s="23"/>
      <c r="MA18" s="23"/>
      <c r="MB18" s="23"/>
      <c r="MC18" s="23"/>
      <c r="MD18" s="23"/>
      <c r="ME18" s="23"/>
      <c r="MF18" s="23"/>
      <c r="MG18" s="23"/>
      <c r="MH18" s="23"/>
      <c r="MI18" s="23"/>
      <c r="MJ18" s="23"/>
      <c r="MK18" s="23"/>
      <c r="ML18" s="23"/>
      <c r="MM18" s="23"/>
      <c r="MN18" s="23"/>
      <c r="MO18" s="23"/>
      <c r="MP18" s="23"/>
      <c r="MQ18" s="23"/>
      <c r="MR18" s="23"/>
      <c r="MS18" s="23"/>
      <c r="MT18" s="23"/>
      <c r="MU18" s="23"/>
      <c r="MV18" s="23"/>
      <c r="MW18" s="23"/>
      <c r="MX18" s="23"/>
      <c r="MY18" s="23"/>
      <c r="MZ18" s="23"/>
      <c r="NA18" s="23"/>
      <c r="NB18" s="23"/>
      <c r="NC18" s="23"/>
      <c r="ND18" s="23"/>
      <c r="NE18" s="23"/>
      <c r="NF18" s="23"/>
      <c r="NG18" s="23"/>
      <c r="NH18" s="23"/>
      <c r="NI18" s="23"/>
      <c r="NJ18" s="23"/>
      <c r="NK18" s="23"/>
      <c r="NL18" s="23"/>
      <c r="NM18" s="23"/>
      <c r="NN18" s="23"/>
      <c r="NO18" s="27"/>
    </row>
    <row r="19" spans="1:379">
      <c r="A19">
        <f t="shared" si="0"/>
        <v>3</v>
      </c>
      <c r="B19" t="s">
        <v>46</v>
      </c>
      <c r="C19" t="s">
        <v>57</v>
      </c>
      <c r="D19" t="s">
        <v>59</v>
      </c>
      <c r="E19" t="s">
        <v>65</v>
      </c>
      <c r="F19" t="s">
        <v>52</v>
      </c>
      <c r="G19" t="s">
        <v>28</v>
      </c>
      <c r="H19" s="3">
        <f>WORKDAY(J18,1,_祝日[日付])</f>
        <v>45421</v>
      </c>
      <c r="I19">
        <v>3</v>
      </c>
      <c r="J19" s="3">
        <f>WORKDAY(WBS[[#This Row],[開始日]],WBS[[#This Row],[所要日数]]-1,_祝日[日付])</f>
        <v>45425</v>
      </c>
      <c r="K19" t="s">
        <v>25</v>
      </c>
      <c r="L19" s="14">
        <v>0.8</v>
      </c>
      <c r="M19" s="10"/>
      <c r="N19" s="22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3"/>
      <c r="FV19" s="23"/>
      <c r="FW19" s="23"/>
      <c r="FX19" s="23"/>
      <c r="FY19" s="23"/>
      <c r="FZ19" s="23"/>
      <c r="GA19" s="23"/>
      <c r="GB19" s="23"/>
      <c r="GC19" s="23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3"/>
      <c r="JE19" s="23"/>
      <c r="JF19" s="23"/>
      <c r="JG19" s="23"/>
      <c r="JH19" s="23"/>
      <c r="JI19" s="23"/>
      <c r="JJ19" s="23"/>
      <c r="JK19" s="23"/>
      <c r="JL19" s="23"/>
      <c r="JM19" s="23"/>
      <c r="JN19" s="23"/>
      <c r="JO19" s="23"/>
      <c r="JP19" s="23"/>
      <c r="JQ19" s="23"/>
      <c r="JR19" s="23"/>
      <c r="JS19" s="23"/>
      <c r="JT19" s="23"/>
      <c r="JU19" s="23"/>
      <c r="JV19" s="23"/>
      <c r="JW19" s="23"/>
      <c r="JX19" s="23"/>
      <c r="JY19" s="23"/>
      <c r="JZ19" s="23"/>
      <c r="KA19" s="23"/>
      <c r="KB19" s="23"/>
      <c r="KC19" s="23"/>
      <c r="KD19" s="23"/>
      <c r="KE19" s="23"/>
      <c r="KF19" s="23"/>
      <c r="KG19" s="23"/>
      <c r="KH19" s="23"/>
      <c r="KI19" s="23"/>
      <c r="KJ19" s="23"/>
      <c r="KK19" s="23"/>
      <c r="KL19" s="23"/>
      <c r="KM19" s="23"/>
      <c r="KN19" s="23"/>
      <c r="KO19" s="23"/>
      <c r="KP19" s="23"/>
      <c r="KQ19" s="23"/>
      <c r="KR19" s="23"/>
      <c r="KS19" s="23"/>
      <c r="KT19" s="23"/>
      <c r="KU19" s="23"/>
      <c r="KV19" s="23"/>
      <c r="KW19" s="23"/>
      <c r="KX19" s="23"/>
      <c r="KY19" s="23"/>
      <c r="KZ19" s="23"/>
      <c r="LA19" s="23"/>
      <c r="LB19" s="23"/>
      <c r="LC19" s="23"/>
      <c r="LD19" s="23"/>
      <c r="LE19" s="23"/>
      <c r="LF19" s="23"/>
      <c r="LG19" s="23"/>
      <c r="LH19" s="23"/>
      <c r="LI19" s="23"/>
      <c r="LJ19" s="23"/>
      <c r="LK19" s="23"/>
      <c r="LL19" s="23"/>
      <c r="LM19" s="23"/>
      <c r="LN19" s="23"/>
      <c r="LO19" s="23"/>
      <c r="LP19" s="23"/>
      <c r="LQ19" s="23"/>
      <c r="LR19" s="23"/>
      <c r="LS19" s="23"/>
      <c r="LT19" s="23"/>
      <c r="LU19" s="23"/>
      <c r="LV19" s="23"/>
      <c r="LW19" s="23"/>
      <c r="LX19" s="23"/>
      <c r="LY19" s="23"/>
      <c r="LZ19" s="23"/>
      <c r="MA19" s="23"/>
      <c r="MB19" s="23"/>
      <c r="MC19" s="23"/>
      <c r="MD19" s="23"/>
      <c r="ME19" s="23"/>
      <c r="MF19" s="23"/>
      <c r="MG19" s="23"/>
      <c r="MH19" s="23"/>
      <c r="MI19" s="23"/>
      <c r="MJ19" s="23"/>
      <c r="MK19" s="23"/>
      <c r="ML19" s="23"/>
      <c r="MM19" s="23"/>
      <c r="MN19" s="23"/>
      <c r="MO19" s="23"/>
      <c r="MP19" s="23"/>
      <c r="MQ19" s="23"/>
      <c r="MR19" s="23"/>
      <c r="MS19" s="23"/>
      <c r="MT19" s="23"/>
      <c r="MU19" s="23"/>
      <c r="MV19" s="23"/>
      <c r="MW19" s="23"/>
      <c r="MX19" s="23"/>
      <c r="MY19" s="23"/>
      <c r="MZ19" s="23"/>
      <c r="NA19" s="23"/>
      <c r="NB19" s="23"/>
      <c r="NC19" s="23"/>
      <c r="ND19" s="23"/>
      <c r="NE19" s="23"/>
      <c r="NF19" s="23"/>
      <c r="NG19" s="23"/>
      <c r="NH19" s="23"/>
      <c r="NI19" s="23"/>
      <c r="NJ19" s="23"/>
      <c r="NK19" s="23"/>
      <c r="NL19" s="23"/>
      <c r="NM19" s="23"/>
      <c r="NN19" s="23"/>
      <c r="NO19" s="27"/>
    </row>
    <row r="20" spans="1:379">
      <c r="A20">
        <f t="shared" si="0"/>
        <v>4</v>
      </c>
      <c r="B20" t="s">
        <v>47</v>
      </c>
      <c r="C20" t="s">
        <v>57</v>
      </c>
      <c r="D20" t="s">
        <v>60</v>
      </c>
      <c r="E20" t="s">
        <v>62</v>
      </c>
      <c r="F20" t="s">
        <v>53</v>
      </c>
      <c r="G20" t="s">
        <v>30</v>
      </c>
      <c r="H20" s="3">
        <f>WORKDAY(J19,1,_祝日[日付])</f>
        <v>45426</v>
      </c>
      <c r="I20">
        <v>2</v>
      </c>
      <c r="J20" s="3">
        <f>WORKDAY(WBS[[#This Row],[開始日]],WBS[[#This Row],[所要日数]]-1,_祝日[日付])</f>
        <v>45427</v>
      </c>
      <c r="K20" t="s">
        <v>25</v>
      </c>
      <c r="L20" s="14">
        <v>0.7</v>
      </c>
      <c r="M20" s="10"/>
      <c r="N20" s="22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3"/>
      <c r="FU20" s="23"/>
      <c r="FV20" s="23"/>
      <c r="FW20" s="23"/>
      <c r="FX20" s="23"/>
      <c r="FY20" s="23"/>
      <c r="FZ20" s="23"/>
      <c r="GA20" s="23"/>
      <c r="GB20" s="23"/>
      <c r="GC20" s="23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3"/>
      <c r="JE20" s="23"/>
      <c r="JF20" s="23"/>
      <c r="JG20" s="23"/>
      <c r="JH20" s="23"/>
      <c r="JI20" s="23"/>
      <c r="JJ20" s="23"/>
      <c r="JK20" s="23"/>
      <c r="JL20" s="23"/>
      <c r="JM20" s="23"/>
      <c r="JN20" s="23"/>
      <c r="JO20" s="23"/>
      <c r="JP20" s="23"/>
      <c r="JQ20" s="23"/>
      <c r="JR20" s="23"/>
      <c r="JS20" s="23"/>
      <c r="JT20" s="23"/>
      <c r="JU20" s="23"/>
      <c r="JV20" s="23"/>
      <c r="JW20" s="23"/>
      <c r="JX20" s="23"/>
      <c r="JY20" s="23"/>
      <c r="JZ20" s="23"/>
      <c r="KA20" s="23"/>
      <c r="KB20" s="23"/>
      <c r="KC20" s="23"/>
      <c r="KD20" s="23"/>
      <c r="KE20" s="23"/>
      <c r="KF20" s="23"/>
      <c r="KG20" s="23"/>
      <c r="KH20" s="23"/>
      <c r="KI20" s="23"/>
      <c r="KJ20" s="23"/>
      <c r="KK20" s="23"/>
      <c r="KL20" s="23"/>
      <c r="KM20" s="23"/>
      <c r="KN20" s="23"/>
      <c r="KO20" s="23"/>
      <c r="KP20" s="23"/>
      <c r="KQ20" s="23"/>
      <c r="KR20" s="23"/>
      <c r="KS20" s="23"/>
      <c r="KT20" s="23"/>
      <c r="KU20" s="23"/>
      <c r="KV20" s="23"/>
      <c r="KW20" s="23"/>
      <c r="KX20" s="23"/>
      <c r="KY20" s="23"/>
      <c r="KZ20" s="23"/>
      <c r="LA20" s="23"/>
      <c r="LB20" s="23"/>
      <c r="LC20" s="23"/>
      <c r="LD20" s="23"/>
      <c r="LE20" s="23"/>
      <c r="LF20" s="23"/>
      <c r="LG20" s="23"/>
      <c r="LH20" s="23"/>
      <c r="LI20" s="23"/>
      <c r="LJ20" s="23"/>
      <c r="LK20" s="23"/>
      <c r="LL20" s="23"/>
      <c r="LM20" s="23"/>
      <c r="LN20" s="23"/>
      <c r="LO20" s="23"/>
      <c r="LP20" s="23"/>
      <c r="LQ20" s="23"/>
      <c r="LR20" s="23"/>
      <c r="LS20" s="23"/>
      <c r="LT20" s="23"/>
      <c r="LU20" s="23"/>
      <c r="LV20" s="23"/>
      <c r="LW20" s="23"/>
      <c r="LX20" s="23"/>
      <c r="LY20" s="23"/>
      <c r="LZ20" s="23"/>
      <c r="MA20" s="23"/>
      <c r="MB20" s="23"/>
      <c r="MC20" s="23"/>
      <c r="MD20" s="23"/>
      <c r="ME20" s="23"/>
      <c r="MF20" s="23"/>
      <c r="MG20" s="23"/>
      <c r="MH20" s="23"/>
      <c r="MI20" s="23"/>
      <c r="MJ20" s="23"/>
      <c r="MK20" s="23"/>
      <c r="ML20" s="23"/>
      <c r="MM20" s="23"/>
      <c r="MN20" s="23"/>
      <c r="MO20" s="23"/>
      <c r="MP20" s="23"/>
      <c r="MQ20" s="23"/>
      <c r="MR20" s="23"/>
      <c r="MS20" s="23"/>
      <c r="MT20" s="23"/>
      <c r="MU20" s="23"/>
      <c r="MV20" s="23"/>
      <c r="MW20" s="23"/>
      <c r="MX20" s="23"/>
      <c r="MY20" s="23"/>
      <c r="MZ20" s="23"/>
      <c r="NA20" s="23"/>
      <c r="NB20" s="23"/>
      <c r="NC20" s="23"/>
      <c r="ND20" s="23"/>
      <c r="NE20" s="23"/>
      <c r="NF20" s="23"/>
      <c r="NG20" s="23"/>
      <c r="NH20" s="23"/>
      <c r="NI20" s="23"/>
      <c r="NJ20" s="23"/>
      <c r="NK20" s="23"/>
      <c r="NL20" s="23"/>
      <c r="NM20" s="23"/>
      <c r="NN20" s="23"/>
      <c r="NO20" s="27"/>
    </row>
    <row r="21" spans="1:379" s="2" customFormat="1">
      <c r="A21">
        <f t="shared" si="0"/>
        <v>5</v>
      </c>
      <c r="B21" t="s">
        <v>48</v>
      </c>
      <c r="C21" t="s">
        <v>58</v>
      </c>
      <c r="D21" t="s">
        <v>59</v>
      </c>
      <c r="E21" t="s">
        <v>61</v>
      </c>
      <c r="F21" t="s">
        <v>54</v>
      </c>
      <c r="G21" t="s">
        <v>30</v>
      </c>
      <c r="H21" s="3">
        <f>WORKDAY(J20,1,_祝日[日付])</f>
        <v>45428</v>
      </c>
      <c r="I21">
        <v>2</v>
      </c>
      <c r="J21" s="3">
        <f>WORKDAY(WBS[[#This Row],[開始日]],WBS[[#This Row],[所要日数]]-1,_祝日[日付])</f>
        <v>45429</v>
      </c>
      <c r="K21" t="s">
        <v>25</v>
      </c>
      <c r="L21" s="14">
        <v>0.4</v>
      </c>
      <c r="M21" s="12"/>
      <c r="N21" s="24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25"/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25"/>
      <c r="HI21" s="25"/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25"/>
      <c r="JR21" s="25"/>
      <c r="JS21" s="25"/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25"/>
      <c r="KR21" s="25"/>
      <c r="KS21" s="25"/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8"/>
    </row>
    <row r="22" spans="1:379">
      <c r="A22">
        <f t="shared" si="0"/>
        <v>6</v>
      </c>
      <c r="B22" t="s">
        <v>49</v>
      </c>
      <c r="C22" t="s">
        <v>58</v>
      </c>
      <c r="D22" t="s">
        <v>60</v>
      </c>
      <c r="E22" t="s">
        <v>62</v>
      </c>
      <c r="F22" t="s">
        <v>55</v>
      </c>
      <c r="G22" t="s">
        <v>32</v>
      </c>
      <c r="H22" s="3">
        <f>WORKDAY(J21,1,_祝日[日付])</f>
        <v>45432</v>
      </c>
      <c r="I22">
        <v>4</v>
      </c>
      <c r="J22" s="3">
        <f>WORKDAY(WBS[[#This Row],[開始日]],WBS[[#This Row],[所要日数]]-1,_祝日[日付])</f>
        <v>45435</v>
      </c>
      <c r="K22" t="s">
        <v>25</v>
      </c>
      <c r="L22" s="14">
        <v>0.2</v>
      </c>
      <c r="M22" s="10"/>
      <c r="N22" s="22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/>
      <c r="MP22" s="23"/>
      <c r="MQ22" s="23"/>
      <c r="MR22" s="23"/>
      <c r="MS22" s="23"/>
      <c r="MT22" s="23"/>
      <c r="MU22" s="23"/>
      <c r="MV22" s="23"/>
      <c r="MW22" s="23"/>
      <c r="MX22" s="23"/>
      <c r="MY22" s="23"/>
      <c r="MZ22" s="23"/>
      <c r="NA22" s="23"/>
      <c r="NB22" s="23"/>
      <c r="NC22" s="23"/>
      <c r="ND22" s="23"/>
      <c r="NE22" s="23"/>
      <c r="NF22" s="23"/>
      <c r="NG22" s="23"/>
      <c r="NH22" s="23"/>
      <c r="NI22" s="23"/>
      <c r="NJ22" s="23"/>
      <c r="NK22" s="23"/>
      <c r="NL22" s="23"/>
      <c r="NM22" s="23"/>
      <c r="NN22" s="23"/>
      <c r="NO22" s="27"/>
    </row>
    <row r="23" spans="1:379">
      <c r="A23">
        <f t="shared" si="0"/>
        <v>7</v>
      </c>
      <c r="H23" s="3"/>
      <c r="J23" s="3"/>
      <c r="L23" s="14"/>
      <c r="M23" s="10"/>
      <c r="N23" s="22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/>
      <c r="FX23" s="23"/>
      <c r="FY23" s="23"/>
      <c r="FZ23" s="23"/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  <c r="IL23" s="23"/>
      <c r="IM23" s="23"/>
      <c r="IN23" s="23"/>
      <c r="IO23" s="23"/>
      <c r="IP23" s="23"/>
      <c r="IQ23" s="23"/>
      <c r="IR23" s="23"/>
      <c r="IS23" s="23"/>
      <c r="IT23" s="23"/>
      <c r="IU23" s="23"/>
      <c r="IV23" s="23"/>
      <c r="IW23" s="23"/>
      <c r="IX23" s="23"/>
      <c r="IY23" s="23"/>
      <c r="IZ23" s="23"/>
      <c r="JA23" s="23"/>
      <c r="JB23" s="23"/>
      <c r="JC23" s="23"/>
      <c r="JD23" s="23"/>
      <c r="JE23" s="23"/>
      <c r="JF23" s="23"/>
      <c r="JG23" s="23"/>
      <c r="JH23" s="23"/>
      <c r="JI23" s="23"/>
      <c r="JJ23" s="23"/>
      <c r="JK23" s="23"/>
      <c r="JL23" s="23"/>
      <c r="JM23" s="23"/>
      <c r="JN23" s="23"/>
      <c r="JO23" s="23"/>
      <c r="JP23" s="23"/>
      <c r="JQ23" s="23"/>
      <c r="JR23" s="23"/>
      <c r="JS23" s="23"/>
      <c r="JT23" s="23"/>
      <c r="JU23" s="23"/>
      <c r="JV23" s="23"/>
      <c r="JW23" s="23"/>
      <c r="JX23" s="23"/>
      <c r="JY23" s="23"/>
      <c r="JZ23" s="23"/>
      <c r="KA23" s="23"/>
      <c r="KB23" s="23"/>
      <c r="KC23" s="23"/>
      <c r="KD23" s="23"/>
      <c r="KE23" s="23"/>
      <c r="KF23" s="23"/>
      <c r="KG23" s="23"/>
      <c r="KH23" s="23"/>
      <c r="KI23" s="23"/>
      <c r="KJ23" s="23"/>
      <c r="KK23" s="23"/>
      <c r="KL23" s="23"/>
      <c r="KM23" s="23"/>
      <c r="KN23" s="23"/>
      <c r="KO23" s="23"/>
      <c r="KP23" s="23"/>
      <c r="KQ23" s="23"/>
      <c r="KR23" s="23"/>
      <c r="KS23" s="23"/>
      <c r="KT23" s="23"/>
      <c r="KU23" s="23"/>
      <c r="KV23" s="23"/>
      <c r="KW23" s="23"/>
      <c r="KX23" s="23"/>
      <c r="KY23" s="23"/>
      <c r="KZ23" s="23"/>
      <c r="LA23" s="23"/>
      <c r="LB23" s="23"/>
      <c r="LC23" s="23"/>
      <c r="LD23" s="23"/>
      <c r="LE23" s="23"/>
      <c r="LF23" s="23"/>
      <c r="LG23" s="23"/>
      <c r="LH23" s="23"/>
      <c r="LI23" s="23"/>
      <c r="LJ23" s="23"/>
      <c r="LK23" s="23"/>
      <c r="LL23" s="23"/>
      <c r="LM23" s="23"/>
      <c r="LN23" s="23"/>
      <c r="LO23" s="23"/>
      <c r="LP23" s="23"/>
      <c r="LQ23" s="23"/>
      <c r="LR23" s="23"/>
      <c r="LS23" s="23"/>
      <c r="LT23" s="23"/>
      <c r="LU23" s="23"/>
      <c r="LV23" s="23"/>
      <c r="LW23" s="23"/>
      <c r="LX23" s="23"/>
      <c r="LY23" s="23"/>
      <c r="LZ23" s="23"/>
      <c r="MA23" s="23"/>
      <c r="MB23" s="23"/>
      <c r="MC23" s="23"/>
      <c r="MD23" s="23"/>
      <c r="ME23" s="23"/>
      <c r="MF23" s="23"/>
      <c r="MG23" s="23"/>
      <c r="MH23" s="23"/>
      <c r="MI23" s="23"/>
      <c r="MJ23" s="23"/>
      <c r="MK23" s="23"/>
      <c r="ML23" s="23"/>
      <c r="MM23" s="23"/>
      <c r="MN23" s="23"/>
      <c r="MO23" s="23"/>
      <c r="MP23" s="23"/>
      <c r="MQ23" s="23"/>
      <c r="MR23" s="23"/>
      <c r="MS23" s="23"/>
      <c r="MT23" s="23"/>
      <c r="MU23" s="23"/>
      <c r="MV23" s="23"/>
      <c r="MW23" s="23"/>
      <c r="MX23" s="23"/>
      <c r="MY23" s="23"/>
      <c r="MZ23" s="23"/>
      <c r="NA23" s="23"/>
      <c r="NB23" s="23"/>
      <c r="NC23" s="23"/>
      <c r="ND23" s="23"/>
      <c r="NE23" s="23"/>
      <c r="NF23" s="23"/>
      <c r="NG23" s="23"/>
      <c r="NH23" s="23"/>
      <c r="NI23" s="23"/>
      <c r="NJ23" s="23"/>
      <c r="NK23" s="23"/>
      <c r="NL23" s="23"/>
      <c r="NM23" s="23"/>
      <c r="NN23" s="23"/>
      <c r="NO23" s="27"/>
    </row>
    <row r="24" spans="1:379">
      <c r="A24">
        <f t="shared" si="0"/>
        <v>8</v>
      </c>
      <c r="H24" s="3"/>
      <c r="J24" s="3"/>
      <c r="L24" s="14"/>
      <c r="M24" s="10"/>
      <c r="N24" s="22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23"/>
      <c r="FH24" s="23"/>
      <c r="FI24" s="23"/>
      <c r="FJ24" s="23"/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3"/>
      <c r="FX24" s="23"/>
      <c r="FY24" s="23"/>
      <c r="FZ24" s="23"/>
      <c r="GA24" s="23"/>
      <c r="GB24" s="23"/>
      <c r="GC24" s="23"/>
      <c r="GD24" s="23"/>
      <c r="GE24" s="23"/>
      <c r="GF24" s="23"/>
      <c r="GG24" s="23"/>
      <c r="GH24" s="23"/>
      <c r="GI24" s="23"/>
      <c r="GJ24" s="23"/>
      <c r="GK24" s="23"/>
      <c r="GL24" s="23"/>
      <c r="GM24" s="23"/>
      <c r="GN24" s="23"/>
      <c r="GO24" s="23"/>
      <c r="GP24" s="23"/>
      <c r="GQ24" s="23"/>
      <c r="GR24" s="23"/>
      <c r="GS24" s="23"/>
      <c r="GT24" s="23"/>
      <c r="GU24" s="23"/>
      <c r="GV24" s="23"/>
      <c r="GW24" s="23"/>
      <c r="GX24" s="23"/>
      <c r="GY24" s="23"/>
      <c r="GZ24" s="23"/>
      <c r="HA24" s="23"/>
      <c r="HB24" s="23"/>
      <c r="HC24" s="23"/>
      <c r="HD24" s="23"/>
      <c r="HE24" s="23"/>
      <c r="HF24" s="23"/>
      <c r="HG24" s="23"/>
      <c r="HH24" s="23"/>
      <c r="HI24" s="23"/>
      <c r="HJ24" s="23"/>
      <c r="HK24" s="23"/>
      <c r="HL24" s="23"/>
      <c r="HM24" s="23"/>
      <c r="HN24" s="23"/>
      <c r="HO24" s="23"/>
      <c r="HP24" s="23"/>
      <c r="HQ24" s="23"/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  <c r="IL24" s="23"/>
      <c r="IM24" s="23"/>
      <c r="IN24" s="23"/>
      <c r="IO24" s="23"/>
      <c r="IP24" s="23"/>
      <c r="IQ24" s="23"/>
      <c r="IR24" s="23"/>
      <c r="IS24" s="23"/>
      <c r="IT24" s="23"/>
      <c r="IU24" s="23"/>
      <c r="IV24" s="23"/>
      <c r="IW24" s="23"/>
      <c r="IX24" s="23"/>
      <c r="IY24" s="23"/>
      <c r="IZ24" s="23"/>
      <c r="JA24" s="23"/>
      <c r="JB24" s="23"/>
      <c r="JC24" s="23"/>
      <c r="JD24" s="23"/>
      <c r="JE24" s="23"/>
      <c r="JF24" s="23"/>
      <c r="JG24" s="23"/>
      <c r="JH24" s="23"/>
      <c r="JI24" s="23"/>
      <c r="JJ24" s="23"/>
      <c r="JK24" s="23"/>
      <c r="JL24" s="23"/>
      <c r="JM24" s="23"/>
      <c r="JN24" s="23"/>
      <c r="JO24" s="23"/>
      <c r="JP24" s="23"/>
      <c r="JQ24" s="23"/>
      <c r="JR24" s="23"/>
      <c r="JS24" s="23"/>
      <c r="JT24" s="23"/>
      <c r="JU24" s="23"/>
      <c r="JV24" s="23"/>
      <c r="JW24" s="23"/>
      <c r="JX24" s="23"/>
      <c r="JY24" s="23"/>
      <c r="JZ24" s="23"/>
      <c r="KA24" s="23"/>
      <c r="KB24" s="23"/>
      <c r="KC24" s="23"/>
      <c r="KD24" s="23"/>
      <c r="KE24" s="23"/>
      <c r="KF24" s="23"/>
      <c r="KG24" s="23"/>
      <c r="KH24" s="23"/>
      <c r="KI24" s="23"/>
      <c r="KJ24" s="23"/>
      <c r="KK24" s="23"/>
      <c r="KL24" s="23"/>
      <c r="KM24" s="23"/>
      <c r="KN24" s="23"/>
      <c r="KO24" s="23"/>
      <c r="KP24" s="23"/>
      <c r="KQ24" s="23"/>
      <c r="KR24" s="23"/>
      <c r="KS24" s="23"/>
      <c r="KT24" s="23"/>
      <c r="KU24" s="23"/>
      <c r="KV24" s="23"/>
      <c r="KW24" s="23"/>
      <c r="KX24" s="23"/>
      <c r="KY24" s="23"/>
      <c r="KZ24" s="23"/>
      <c r="LA24" s="23"/>
      <c r="LB24" s="23"/>
      <c r="LC24" s="23"/>
      <c r="LD24" s="23"/>
      <c r="LE24" s="23"/>
      <c r="LF24" s="23"/>
      <c r="LG24" s="23"/>
      <c r="LH24" s="23"/>
      <c r="LI24" s="23"/>
      <c r="LJ24" s="23"/>
      <c r="LK24" s="23"/>
      <c r="LL24" s="23"/>
      <c r="LM24" s="23"/>
      <c r="LN24" s="23"/>
      <c r="LO24" s="23"/>
      <c r="LP24" s="23"/>
      <c r="LQ24" s="23"/>
      <c r="LR24" s="23"/>
      <c r="LS24" s="23"/>
      <c r="LT24" s="23"/>
      <c r="LU24" s="23"/>
      <c r="LV24" s="23"/>
      <c r="LW24" s="23"/>
      <c r="LX24" s="23"/>
      <c r="LY24" s="23"/>
      <c r="LZ24" s="23"/>
      <c r="MA24" s="23"/>
      <c r="MB24" s="23"/>
      <c r="MC24" s="23"/>
      <c r="MD24" s="23"/>
      <c r="ME24" s="23"/>
      <c r="MF24" s="23"/>
      <c r="MG24" s="23"/>
      <c r="MH24" s="23"/>
      <c r="MI24" s="23"/>
      <c r="MJ24" s="23"/>
      <c r="MK24" s="23"/>
      <c r="ML24" s="23"/>
      <c r="MM24" s="23"/>
      <c r="MN24" s="23"/>
      <c r="MO24" s="23"/>
      <c r="MP24" s="23"/>
      <c r="MQ24" s="23"/>
      <c r="MR24" s="23"/>
      <c r="MS24" s="23"/>
      <c r="MT24" s="23"/>
      <c r="MU24" s="23"/>
      <c r="MV24" s="23"/>
      <c r="MW24" s="23"/>
      <c r="MX24" s="23"/>
      <c r="MY24" s="23"/>
      <c r="MZ24" s="23"/>
      <c r="NA24" s="23"/>
      <c r="NB24" s="23"/>
      <c r="NC24" s="23"/>
      <c r="ND24" s="23"/>
      <c r="NE24" s="23"/>
      <c r="NF24" s="23"/>
      <c r="NG24" s="23"/>
      <c r="NH24" s="23"/>
      <c r="NI24" s="23"/>
      <c r="NJ24" s="23"/>
      <c r="NK24" s="23"/>
      <c r="NL24" s="23"/>
      <c r="NM24" s="23"/>
      <c r="NN24" s="23"/>
      <c r="NO24" s="27"/>
    </row>
    <row r="25" spans="1:379">
      <c r="A25">
        <f t="shared" si="0"/>
        <v>9</v>
      </c>
      <c r="H25" s="3"/>
      <c r="J25" s="3"/>
      <c r="L25" s="14"/>
      <c r="M25" s="10"/>
      <c r="N25" s="22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/>
      <c r="EL25" s="23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3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3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3"/>
      <c r="FV25" s="23"/>
      <c r="FW25" s="23"/>
      <c r="FX25" s="23"/>
      <c r="FY25" s="23"/>
      <c r="FZ25" s="23"/>
      <c r="GA25" s="23"/>
      <c r="GB25" s="23"/>
      <c r="GC25" s="23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  <c r="IW25" s="23"/>
      <c r="IX25" s="23"/>
      <c r="IY25" s="23"/>
      <c r="IZ25" s="23"/>
      <c r="JA25" s="23"/>
      <c r="JB25" s="23"/>
      <c r="JC25" s="23"/>
      <c r="JD25" s="23"/>
      <c r="JE25" s="23"/>
      <c r="JF25" s="23"/>
      <c r="JG25" s="23"/>
      <c r="JH25" s="23"/>
      <c r="JI25" s="23"/>
      <c r="JJ25" s="23"/>
      <c r="JK25" s="23"/>
      <c r="JL25" s="23"/>
      <c r="JM25" s="23"/>
      <c r="JN25" s="23"/>
      <c r="JO25" s="23"/>
      <c r="JP25" s="23"/>
      <c r="JQ25" s="23"/>
      <c r="JR25" s="23"/>
      <c r="JS25" s="23"/>
      <c r="JT25" s="23"/>
      <c r="JU25" s="23"/>
      <c r="JV25" s="23"/>
      <c r="JW25" s="23"/>
      <c r="JX25" s="23"/>
      <c r="JY25" s="23"/>
      <c r="JZ25" s="23"/>
      <c r="KA25" s="23"/>
      <c r="KB25" s="23"/>
      <c r="KC25" s="23"/>
      <c r="KD25" s="23"/>
      <c r="KE25" s="23"/>
      <c r="KF25" s="23"/>
      <c r="KG25" s="23"/>
      <c r="KH25" s="23"/>
      <c r="KI25" s="23"/>
      <c r="KJ25" s="23"/>
      <c r="KK25" s="23"/>
      <c r="KL25" s="23"/>
      <c r="KM25" s="23"/>
      <c r="KN25" s="23"/>
      <c r="KO25" s="23"/>
      <c r="KP25" s="23"/>
      <c r="KQ25" s="23"/>
      <c r="KR25" s="23"/>
      <c r="KS25" s="23"/>
      <c r="KT25" s="23"/>
      <c r="KU25" s="23"/>
      <c r="KV25" s="23"/>
      <c r="KW25" s="23"/>
      <c r="KX25" s="23"/>
      <c r="KY25" s="23"/>
      <c r="KZ25" s="23"/>
      <c r="LA25" s="23"/>
      <c r="LB25" s="23"/>
      <c r="LC25" s="23"/>
      <c r="LD25" s="23"/>
      <c r="LE25" s="23"/>
      <c r="LF25" s="23"/>
      <c r="LG25" s="23"/>
      <c r="LH25" s="23"/>
      <c r="LI25" s="23"/>
      <c r="LJ25" s="23"/>
      <c r="LK25" s="23"/>
      <c r="LL25" s="23"/>
      <c r="LM25" s="23"/>
      <c r="LN25" s="23"/>
      <c r="LO25" s="23"/>
      <c r="LP25" s="23"/>
      <c r="LQ25" s="23"/>
      <c r="LR25" s="23"/>
      <c r="LS25" s="23"/>
      <c r="LT25" s="23"/>
      <c r="LU25" s="23"/>
      <c r="LV25" s="23"/>
      <c r="LW25" s="23"/>
      <c r="LX25" s="23"/>
      <c r="LY25" s="23"/>
      <c r="LZ25" s="23"/>
      <c r="MA25" s="23"/>
      <c r="MB25" s="23"/>
      <c r="MC25" s="23"/>
      <c r="MD25" s="23"/>
      <c r="ME25" s="23"/>
      <c r="MF25" s="23"/>
      <c r="MG25" s="23"/>
      <c r="MH25" s="23"/>
      <c r="MI25" s="23"/>
      <c r="MJ25" s="23"/>
      <c r="MK25" s="23"/>
      <c r="ML25" s="23"/>
      <c r="MM25" s="23"/>
      <c r="MN25" s="23"/>
      <c r="MO25" s="23"/>
      <c r="MP25" s="23"/>
      <c r="MQ25" s="23"/>
      <c r="MR25" s="23"/>
      <c r="MS25" s="23"/>
      <c r="MT25" s="23"/>
      <c r="MU25" s="23"/>
      <c r="MV25" s="23"/>
      <c r="MW25" s="23"/>
      <c r="MX25" s="23"/>
      <c r="MY25" s="23"/>
      <c r="MZ25" s="23"/>
      <c r="NA25" s="23"/>
      <c r="NB25" s="23"/>
      <c r="NC25" s="23"/>
      <c r="ND25" s="23"/>
      <c r="NE25" s="23"/>
      <c r="NF25" s="23"/>
      <c r="NG25" s="23"/>
      <c r="NH25" s="23"/>
      <c r="NI25" s="23"/>
      <c r="NJ25" s="23"/>
      <c r="NK25" s="23"/>
      <c r="NL25" s="23"/>
      <c r="NM25" s="23"/>
      <c r="NN25" s="23"/>
      <c r="NO25" s="27"/>
    </row>
    <row r="26" spans="1:379">
      <c r="A26">
        <f t="shared" si="0"/>
        <v>10</v>
      </c>
      <c r="H26" s="3"/>
      <c r="J26" s="3"/>
      <c r="L26" s="14"/>
      <c r="M26" s="10"/>
      <c r="N26" s="22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  <c r="FE26" s="23"/>
      <c r="FF26" s="23"/>
      <c r="FG26" s="23"/>
      <c r="FH26" s="23"/>
      <c r="FI26" s="23"/>
      <c r="FJ26" s="23"/>
      <c r="FK26" s="23"/>
      <c r="FL26" s="23"/>
      <c r="FM26" s="23"/>
      <c r="FN26" s="23"/>
      <c r="FO26" s="23"/>
      <c r="FP26" s="23"/>
      <c r="FQ26" s="23"/>
      <c r="FR26" s="23"/>
      <c r="FS26" s="23"/>
      <c r="FT26" s="23"/>
      <c r="FU26" s="23"/>
      <c r="FV26" s="23"/>
      <c r="FW26" s="23"/>
      <c r="FX26" s="23"/>
      <c r="FY26" s="23"/>
      <c r="FZ26" s="23"/>
      <c r="GA26" s="23"/>
      <c r="GB26" s="23"/>
      <c r="GC26" s="23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  <c r="IW26" s="23"/>
      <c r="IX26" s="23"/>
      <c r="IY26" s="23"/>
      <c r="IZ26" s="23"/>
      <c r="JA26" s="23"/>
      <c r="JB26" s="23"/>
      <c r="JC26" s="23"/>
      <c r="JD26" s="23"/>
      <c r="JE26" s="23"/>
      <c r="JF26" s="23"/>
      <c r="JG26" s="23"/>
      <c r="JH26" s="23"/>
      <c r="JI26" s="23"/>
      <c r="JJ26" s="23"/>
      <c r="JK26" s="23"/>
      <c r="JL26" s="23"/>
      <c r="JM26" s="23"/>
      <c r="JN26" s="23"/>
      <c r="JO26" s="23"/>
      <c r="JP26" s="23"/>
      <c r="JQ26" s="23"/>
      <c r="JR26" s="23"/>
      <c r="JS26" s="23"/>
      <c r="JT26" s="23"/>
      <c r="JU26" s="23"/>
      <c r="JV26" s="23"/>
      <c r="JW26" s="23"/>
      <c r="JX26" s="23"/>
      <c r="JY26" s="23"/>
      <c r="JZ26" s="23"/>
      <c r="KA26" s="23"/>
      <c r="KB26" s="23"/>
      <c r="KC26" s="23"/>
      <c r="KD26" s="23"/>
      <c r="KE26" s="23"/>
      <c r="KF26" s="23"/>
      <c r="KG26" s="23"/>
      <c r="KH26" s="23"/>
      <c r="KI26" s="23"/>
      <c r="KJ26" s="23"/>
      <c r="KK26" s="23"/>
      <c r="KL26" s="23"/>
      <c r="KM26" s="23"/>
      <c r="KN26" s="23"/>
      <c r="KO26" s="23"/>
      <c r="KP26" s="23"/>
      <c r="KQ26" s="23"/>
      <c r="KR26" s="23"/>
      <c r="KS26" s="23"/>
      <c r="KT26" s="23"/>
      <c r="KU26" s="23"/>
      <c r="KV26" s="23"/>
      <c r="KW26" s="23"/>
      <c r="KX26" s="23"/>
      <c r="KY26" s="23"/>
      <c r="KZ26" s="23"/>
      <c r="LA26" s="23"/>
      <c r="LB26" s="23"/>
      <c r="LC26" s="23"/>
      <c r="LD26" s="23"/>
      <c r="LE26" s="23"/>
      <c r="LF26" s="23"/>
      <c r="LG26" s="23"/>
      <c r="LH26" s="23"/>
      <c r="LI26" s="23"/>
      <c r="LJ26" s="23"/>
      <c r="LK26" s="23"/>
      <c r="LL26" s="23"/>
      <c r="LM26" s="23"/>
      <c r="LN26" s="23"/>
      <c r="LO26" s="23"/>
      <c r="LP26" s="23"/>
      <c r="LQ26" s="23"/>
      <c r="LR26" s="23"/>
      <c r="LS26" s="23"/>
      <c r="LT26" s="23"/>
      <c r="LU26" s="23"/>
      <c r="LV26" s="23"/>
      <c r="LW26" s="23"/>
      <c r="LX26" s="23"/>
      <c r="LY26" s="23"/>
      <c r="LZ26" s="23"/>
      <c r="MA26" s="23"/>
      <c r="MB26" s="23"/>
      <c r="MC26" s="23"/>
      <c r="MD26" s="23"/>
      <c r="ME26" s="23"/>
      <c r="MF26" s="23"/>
      <c r="MG26" s="23"/>
      <c r="MH26" s="23"/>
      <c r="MI26" s="23"/>
      <c r="MJ26" s="23"/>
      <c r="MK26" s="23"/>
      <c r="ML26" s="23"/>
      <c r="MM26" s="23"/>
      <c r="MN26" s="23"/>
      <c r="MO26" s="23"/>
      <c r="MP26" s="23"/>
      <c r="MQ26" s="23"/>
      <c r="MR26" s="23"/>
      <c r="MS26" s="23"/>
      <c r="MT26" s="23"/>
      <c r="MU26" s="23"/>
      <c r="MV26" s="23"/>
      <c r="MW26" s="23"/>
      <c r="MX26" s="23"/>
      <c r="MY26" s="23"/>
      <c r="MZ26" s="23"/>
      <c r="NA26" s="23"/>
      <c r="NB26" s="23"/>
      <c r="NC26" s="23"/>
      <c r="ND26" s="23"/>
      <c r="NE26" s="23"/>
      <c r="NF26" s="23"/>
      <c r="NG26" s="23"/>
      <c r="NH26" s="23"/>
      <c r="NI26" s="23"/>
      <c r="NJ26" s="23"/>
      <c r="NK26" s="23"/>
      <c r="NL26" s="23"/>
      <c r="NM26" s="23"/>
      <c r="NN26" s="23"/>
      <c r="NO26" s="27"/>
    </row>
    <row r="27" spans="1:379">
      <c r="A27">
        <f t="shared" si="0"/>
        <v>11</v>
      </c>
      <c r="H27" s="3"/>
      <c r="J27" s="3"/>
      <c r="L27" s="14"/>
      <c r="M27" s="10"/>
      <c r="N27" s="22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/>
      <c r="EL27" s="23"/>
      <c r="EM27" s="23"/>
      <c r="EN27" s="23"/>
      <c r="EO27" s="23"/>
      <c r="EP27" s="23"/>
      <c r="EQ27" s="23"/>
      <c r="ER27" s="23"/>
      <c r="ES27" s="23"/>
      <c r="ET27" s="23"/>
      <c r="EU27" s="23"/>
      <c r="EV27" s="23"/>
      <c r="EW27" s="23"/>
      <c r="EX27" s="23"/>
      <c r="EY27" s="23"/>
      <c r="EZ27" s="23"/>
      <c r="FA27" s="23"/>
      <c r="FB27" s="23"/>
      <c r="FC27" s="23"/>
      <c r="FD27" s="23"/>
      <c r="FE27" s="23"/>
      <c r="FF27" s="23"/>
      <c r="FG27" s="23"/>
      <c r="FH27" s="23"/>
      <c r="FI27" s="23"/>
      <c r="FJ27" s="23"/>
      <c r="FK27" s="23"/>
      <c r="FL27" s="23"/>
      <c r="FM27" s="23"/>
      <c r="FN27" s="23"/>
      <c r="FO27" s="23"/>
      <c r="FP27" s="23"/>
      <c r="FQ27" s="23"/>
      <c r="FR27" s="23"/>
      <c r="FS27" s="23"/>
      <c r="FT27" s="23"/>
      <c r="FU27" s="23"/>
      <c r="FV27" s="23"/>
      <c r="FW27" s="23"/>
      <c r="FX27" s="23"/>
      <c r="FY27" s="23"/>
      <c r="FZ27" s="23"/>
      <c r="GA27" s="23"/>
      <c r="GB27" s="23"/>
      <c r="GC27" s="23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  <c r="IW27" s="23"/>
      <c r="IX27" s="23"/>
      <c r="IY27" s="23"/>
      <c r="IZ27" s="23"/>
      <c r="JA27" s="23"/>
      <c r="JB27" s="23"/>
      <c r="JC27" s="23"/>
      <c r="JD27" s="23"/>
      <c r="JE27" s="23"/>
      <c r="JF27" s="23"/>
      <c r="JG27" s="23"/>
      <c r="JH27" s="23"/>
      <c r="JI27" s="23"/>
      <c r="JJ27" s="23"/>
      <c r="JK27" s="23"/>
      <c r="JL27" s="23"/>
      <c r="JM27" s="23"/>
      <c r="JN27" s="23"/>
      <c r="JO27" s="23"/>
      <c r="JP27" s="23"/>
      <c r="JQ27" s="23"/>
      <c r="JR27" s="23"/>
      <c r="JS27" s="23"/>
      <c r="JT27" s="23"/>
      <c r="JU27" s="23"/>
      <c r="JV27" s="23"/>
      <c r="JW27" s="23"/>
      <c r="JX27" s="23"/>
      <c r="JY27" s="23"/>
      <c r="JZ27" s="23"/>
      <c r="KA27" s="23"/>
      <c r="KB27" s="23"/>
      <c r="KC27" s="23"/>
      <c r="KD27" s="23"/>
      <c r="KE27" s="23"/>
      <c r="KF27" s="23"/>
      <c r="KG27" s="23"/>
      <c r="KH27" s="23"/>
      <c r="KI27" s="23"/>
      <c r="KJ27" s="23"/>
      <c r="KK27" s="23"/>
      <c r="KL27" s="23"/>
      <c r="KM27" s="23"/>
      <c r="KN27" s="23"/>
      <c r="KO27" s="23"/>
      <c r="KP27" s="23"/>
      <c r="KQ27" s="23"/>
      <c r="KR27" s="23"/>
      <c r="KS27" s="23"/>
      <c r="KT27" s="23"/>
      <c r="KU27" s="23"/>
      <c r="KV27" s="23"/>
      <c r="KW27" s="23"/>
      <c r="KX27" s="23"/>
      <c r="KY27" s="23"/>
      <c r="KZ27" s="23"/>
      <c r="LA27" s="23"/>
      <c r="LB27" s="23"/>
      <c r="LC27" s="23"/>
      <c r="LD27" s="23"/>
      <c r="LE27" s="23"/>
      <c r="LF27" s="23"/>
      <c r="LG27" s="23"/>
      <c r="LH27" s="23"/>
      <c r="LI27" s="23"/>
      <c r="LJ27" s="23"/>
      <c r="LK27" s="23"/>
      <c r="LL27" s="23"/>
      <c r="LM27" s="23"/>
      <c r="LN27" s="23"/>
      <c r="LO27" s="23"/>
      <c r="LP27" s="23"/>
      <c r="LQ27" s="23"/>
      <c r="LR27" s="23"/>
      <c r="LS27" s="23"/>
      <c r="LT27" s="23"/>
      <c r="LU27" s="23"/>
      <c r="LV27" s="23"/>
      <c r="LW27" s="23"/>
      <c r="LX27" s="23"/>
      <c r="LY27" s="23"/>
      <c r="LZ27" s="23"/>
      <c r="MA27" s="23"/>
      <c r="MB27" s="23"/>
      <c r="MC27" s="23"/>
      <c r="MD27" s="23"/>
      <c r="ME27" s="23"/>
      <c r="MF27" s="23"/>
      <c r="MG27" s="23"/>
      <c r="MH27" s="23"/>
      <c r="MI27" s="23"/>
      <c r="MJ27" s="23"/>
      <c r="MK27" s="23"/>
      <c r="ML27" s="23"/>
      <c r="MM27" s="23"/>
      <c r="MN27" s="23"/>
      <c r="MO27" s="23"/>
      <c r="MP27" s="23"/>
      <c r="MQ27" s="23"/>
      <c r="MR27" s="23"/>
      <c r="MS27" s="23"/>
      <c r="MT27" s="23"/>
      <c r="MU27" s="23"/>
      <c r="MV27" s="23"/>
      <c r="MW27" s="23"/>
      <c r="MX27" s="23"/>
      <c r="MY27" s="23"/>
      <c r="MZ27" s="23"/>
      <c r="NA27" s="23"/>
      <c r="NB27" s="23"/>
      <c r="NC27" s="23"/>
      <c r="ND27" s="23"/>
      <c r="NE27" s="23"/>
      <c r="NF27" s="23"/>
      <c r="NG27" s="23"/>
      <c r="NH27" s="23"/>
      <c r="NI27" s="23"/>
      <c r="NJ27" s="23"/>
      <c r="NK27" s="23"/>
      <c r="NL27" s="23"/>
      <c r="NM27" s="23"/>
      <c r="NN27" s="23"/>
      <c r="NO27" s="27"/>
    </row>
    <row r="28" spans="1:379">
      <c r="A28">
        <f t="shared" si="0"/>
        <v>12</v>
      </c>
      <c r="H28" s="3"/>
      <c r="J28" s="3"/>
      <c r="L28" s="14"/>
      <c r="M28" s="10"/>
      <c r="N28" s="22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3"/>
      <c r="JE28" s="23"/>
      <c r="JF28" s="23"/>
      <c r="JG28" s="23"/>
      <c r="JH28" s="23"/>
      <c r="JI28" s="23"/>
      <c r="JJ28" s="23"/>
      <c r="JK28" s="23"/>
      <c r="JL28" s="23"/>
      <c r="JM28" s="23"/>
      <c r="JN28" s="23"/>
      <c r="JO28" s="23"/>
      <c r="JP28" s="23"/>
      <c r="JQ28" s="23"/>
      <c r="JR28" s="23"/>
      <c r="JS28" s="23"/>
      <c r="JT28" s="23"/>
      <c r="JU28" s="23"/>
      <c r="JV28" s="23"/>
      <c r="JW28" s="23"/>
      <c r="JX28" s="23"/>
      <c r="JY28" s="23"/>
      <c r="JZ28" s="23"/>
      <c r="KA28" s="23"/>
      <c r="KB28" s="23"/>
      <c r="KC28" s="23"/>
      <c r="KD28" s="23"/>
      <c r="KE28" s="23"/>
      <c r="KF28" s="23"/>
      <c r="KG28" s="23"/>
      <c r="KH28" s="23"/>
      <c r="KI28" s="23"/>
      <c r="KJ28" s="23"/>
      <c r="KK28" s="23"/>
      <c r="KL28" s="23"/>
      <c r="KM28" s="23"/>
      <c r="KN28" s="23"/>
      <c r="KO28" s="23"/>
      <c r="KP28" s="23"/>
      <c r="KQ28" s="23"/>
      <c r="KR28" s="23"/>
      <c r="KS28" s="23"/>
      <c r="KT28" s="23"/>
      <c r="KU28" s="23"/>
      <c r="KV28" s="23"/>
      <c r="KW28" s="23"/>
      <c r="KX28" s="23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3"/>
      <c r="LM28" s="23"/>
      <c r="LN28" s="23"/>
      <c r="LO28" s="23"/>
      <c r="LP28" s="23"/>
      <c r="LQ28" s="23"/>
      <c r="LR28" s="23"/>
      <c r="LS28" s="23"/>
      <c r="LT28" s="23"/>
      <c r="LU28" s="23"/>
      <c r="LV28" s="23"/>
      <c r="LW28" s="23"/>
      <c r="LX28" s="23"/>
      <c r="LY28" s="23"/>
      <c r="LZ28" s="23"/>
      <c r="MA28" s="23"/>
      <c r="MB28" s="23"/>
      <c r="MC28" s="23"/>
      <c r="MD28" s="23"/>
      <c r="ME28" s="23"/>
      <c r="MF28" s="23"/>
      <c r="MG28" s="23"/>
      <c r="MH28" s="23"/>
      <c r="MI28" s="23"/>
      <c r="MJ28" s="23"/>
      <c r="MK28" s="23"/>
      <c r="ML28" s="23"/>
      <c r="MM28" s="23"/>
      <c r="MN28" s="23"/>
      <c r="MO28" s="23"/>
      <c r="MP28" s="23"/>
      <c r="MQ28" s="23"/>
      <c r="MR28" s="23"/>
      <c r="MS28" s="23"/>
      <c r="MT28" s="23"/>
      <c r="MU28" s="23"/>
      <c r="MV28" s="23"/>
      <c r="MW28" s="23"/>
      <c r="MX28" s="23"/>
      <c r="MY28" s="23"/>
      <c r="MZ28" s="23"/>
      <c r="NA28" s="23"/>
      <c r="NB28" s="23"/>
      <c r="NC28" s="23"/>
      <c r="ND28" s="23"/>
      <c r="NE28" s="23"/>
      <c r="NF28" s="23"/>
      <c r="NG28" s="23"/>
      <c r="NH28" s="23"/>
      <c r="NI28" s="23"/>
      <c r="NJ28" s="23"/>
      <c r="NK28" s="23"/>
      <c r="NL28" s="23"/>
      <c r="NM28" s="23"/>
      <c r="NN28" s="23"/>
      <c r="NO28" s="27"/>
    </row>
    <row r="29" spans="1:379">
      <c r="A29">
        <f t="shared" si="0"/>
        <v>13</v>
      </c>
      <c r="H29" s="3"/>
      <c r="J29" s="3"/>
      <c r="L29" s="14"/>
      <c r="M29" s="10"/>
      <c r="N29" s="22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  <c r="FE29" s="23"/>
      <c r="FF29" s="23"/>
      <c r="FG29" s="23"/>
      <c r="FH29" s="23"/>
      <c r="FI29" s="23"/>
      <c r="FJ29" s="23"/>
      <c r="FK29" s="23"/>
      <c r="FL29" s="23"/>
      <c r="FM29" s="23"/>
      <c r="FN29" s="23"/>
      <c r="FO29" s="23"/>
      <c r="FP29" s="23"/>
      <c r="FQ29" s="23"/>
      <c r="FR29" s="23"/>
      <c r="FS29" s="23"/>
      <c r="FT29" s="23"/>
      <c r="FU29" s="23"/>
      <c r="FV29" s="23"/>
      <c r="FW29" s="23"/>
      <c r="FX29" s="23"/>
      <c r="FY29" s="23"/>
      <c r="FZ29" s="23"/>
      <c r="GA29" s="23"/>
      <c r="GB29" s="23"/>
      <c r="GC29" s="23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  <c r="IW29" s="23"/>
      <c r="IX29" s="23"/>
      <c r="IY29" s="23"/>
      <c r="IZ29" s="23"/>
      <c r="JA29" s="23"/>
      <c r="JB29" s="23"/>
      <c r="JC29" s="23"/>
      <c r="JD29" s="23"/>
      <c r="JE29" s="23"/>
      <c r="JF29" s="23"/>
      <c r="JG29" s="23"/>
      <c r="JH29" s="23"/>
      <c r="JI29" s="23"/>
      <c r="JJ29" s="23"/>
      <c r="JK29" s="23"/>
      <c r="JL29" s="23"/>
      <c r="JM29" s="23"/>
      <c r="JN29" s="23"/>
      <c r="JO29" s="23"/>
      <c r="JP29" s="23"/>
      <c r="JQ29" s="23"/>
      <c r="JR29" s="23"/>
      <c r="JS29" s="23"/>
      <c r="JT29" s="23"/>
      <c r="JU29" s="23"/>
      <c r="JV29" s="23"/>
      <c r="JW29" s="23"/>
      <c r="JX29" s="23"/>
      <c r="JY29" s="23"/>
      <c r="JZ29" s="23"/>
      <c r="KA29" s="23"/>
      <c r="KB29" s="23"/>
      <c r="KC29" s="23"/>
      <c r="KD29" s="23"/>
      <c r="KE29" s="23"/>
      <c r="KF29" s="23"/>
      <c r="KG29" s="23"/>
      <c r="KH29" s="23"/>
      <c r="KI29" s="23"/>
      <c r="KJ29" s="23"/>
      <c r="KK29" s="23"/>
      <c r="KL29" s="23"/>
      <c r="KM29" s="23"/>
      <c r="KN29" s="23"/>
      <c r="KO29" s="23"/>
      <c r="KP29" s="23"/>
      <c r="KQ29" s="23"/>
      <c r="KR29" s="23"/>
      <c r="KS29" s="23"/>
      <c r="KT29" s="23"/>
      <c r="KU29" s="23"/>
      <c r="KV29" s="23"/>
      <c r="KW29" s="23"/>
      <c r="KX29" s="23"/>
      <c r="KY29" s="23"/>
      <c r="KZ29" s="23"/>
      <c r="LA29" s="23"/>
      <c r="LB29" s="23"/>
      <c r="LC29" s="23"/>
      <c r="LD29" s="23"/>
      <c r="LE29" s="23"/>
      <c r="LF29" s="23"/>
      <c r="LG29" s="23"/>
      <c r="LH29" s="23"/>
      <c r="LI29" s="23"/>
      <c r="LJ29" s="23"/>
      <c r="LK29" s="23"/>
      <c r="LL29" s="23"/>
      <c r="LM29" s="23"/>
      <c r="LN29" s="23"/>
      <c r="LO29" s="23"/>
      <c r="LP29" s="23"/>
      <c r="LQ29" s="23"/>
      <c r="LR29" s="23"/>
      <c r="LS29" s="23"/>
      <c r="LT29" s="23"/>
      <c r="LU29" s="23"/>
      <c r="LV29" s="23"/>
      <c r="LW29" s="23"/>
      <c r="LX29" s="23"/>
      <c r="LY29" s="23"/>
      <c r="LZ29" s="23"/>
      <c r="MA29" s="23"/>
      <c r="MB29" s="23"/>
      <c r="MC29" s="23"/>
      <c r="MD29" s="23"/>
      <c r="ME29" s="23"/>
      <c r="MF29" s="23"/>
      <c r="MG29" s="23"/>
      <c r="MH29" s="23"/>
      <c r="MI29" s="23"/>
      <c r="MJ29" s="23"/>
      <c r="MK29" s="23"/>
      <c r="ML29" s="23"/>
      <c r="MM29" s="23"/>
      <c r="MN29" s="23"/>
      <c r="MO29" s="23"/>
      <c r="MP29" s="23"/>
      <c r="MQ29" s="23"/>
      <c r="MR29" s="23"/>
      <c r="MS29" s="23"/>
      <c r="MT29" s="23"/>
      <c r="MU29" s="23"/>
      <c r="MV29" s="23"/>
      <c r="MW29" s="23"/>
      <c r="MX29" s="23"/>
      <c r="MY29" s="23"/>
      <c r="MZ29" s="23"/>
      <c r="NA29" s="23"/>
      <c r="NB29" s="23"/>
      <c r="NC29" s="23"/>
      <c r="ND29" s="23"/>
      <c r="NE29" s="23"/>
      <c r="NF29" s="23"/>
      <c r="NG29" s="23"/>
      <c r="NH29" s="23"/>
      <c r="NI29" s="23"/>
      <c r="NJ29" s="23"/>
      <c r="NK29" s="23"/>
      <c r="NL29" s="23"/>
      <c r="NM29" s="23"/>
      <c r="NN29" s="23"/>
      <c r="NO29" s="27"/>
    </row>
    <row r="30" spans="1:379">
      <c r="A30">
        <f t="shared" si="0"/>
        <v>14</v>
      </c>
      <c r="H30" s="3"/>
      <c r="J30" s="3"/>
      <c r="L30" s="14"/>
      <c r="M30" s="10"/>
      <c r="N30" s="22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3"/>
      <c r="FU30" s="23"/>
      <c r="FV30" s="23"/>
      <c r="FW30" s="23"/>
      <c r="FX30" s="23"/>
      <c r="FY30" s="23"/>
      <c r="FZ30" s="23"/>
      <c r="GA30" s="23"/>
      <c r="GB30" s="23"/>
      <c r="GC30" s="23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3"/>
      <c r="JE30" s="23"/>
      <c r="JF30" s="23"/>
      <c r="JG30" s="23"/>
      <c r="JH30" s="23"/>
      <c r="JI30" s="23"/>
      <c r="JJ30" s="23"/>
      <c r="JK30" s="23"/>
      <c r="JL30" s="23"/>
      <c r="JM30" s="23"/>
      <c r="JN30" s="23"/>
      <c r="JO30" s="23"/>
      <c r="JP30" s="23"/>
      <c r="JQ30" s="23"/>
      <c r="JR30" s="23"/>
      <c r="JS30" s="23"/>
      <c r="JT30" s="23"/>
      <c r="JU30" s="23"/>
      <c r="JV30" s="23"/>
      <c r="JW30" s="23"/>
      <c r="JX30" s="23"/>
      <c r="JY30" s="23"/>
      <c r="JZ30" s="23"/>
      <c r="KA30" s="23"/>
      <c r="KB30" s="23"/>
      <c r="KC30" s="23"/>
      <c r="KD30" s="23"/>
      <c r="KE30" s="23"/>
      <c r="KF30" s="23"/>
      <c r="KG30" s="23"/>
      <c r="KH30" s="23"/>
      <c r="KI30" s="23"/>
      <c r="KJ30" s="23"/>
      <c r="KK30" s="23"/>
      <c r="KL30" s="23"/>
      <c r="KM30" s="23"/>
      <c r="KN30" s="23"/>
      <c r="KO30" s="23"/>
      <c r="KP30" s="23"/>
      <c r="KQ30" s="23"/>
      <c r="KR30" s="23"/>
      <c r="KS30" s="23"/>
      <c r="KT30" s="23"/>
      <c r="KU30" s="23"/>
      <c r="KV30" s="23"/>
      <c r="KW30" s="23"/>
      <c r="KX30" s="23"/>
      <c r="KY30" s="23"/>
      <c r="KZ30" s="23"/>
      <c r="LA30" s="23"/>
      <c r="LB30" s="23"/>
      <c r="LC30" s="23"/>
      <c r="LD30" s="23"/>
      <c r="LE30" s="23"/>
      <c r="LF30" s="23"/>
      <c r="LG30" s="23"/>
      <c r="LH30" s="23"/>
      <c r="LI30" s="23"/>
      <c r="LJ30" s="23"/>
      <c r="LK30" s="23"/>
      <c r="LL30" s="23"/>
      <c r="LM30" s="23"/>
      <c r="LN30" s="23"/>
      <c r="LO30" s="23"/>
      <c r="LP30" s="23"/>
      <c r="LQ30" s="23"/>
      <c r="LR30" s="23"/>
      <c r="LS30" s="23"/>
      <c r="LT30" s="23"/>
      <c r="LU30" s="23"/>
      <c r="LV30" s="23"/>
      <c r="LW30" s="23"/>
      <c r="LX30" s="23"/>
      <c r="LY30" s="23"/>
      <c r="LZ30" s="23"/>
      <c r="MA30" s="23"/>
      <c r="MB30" s="23"/>
      <c r="MC30" s="23"/>
      <c r="MD30" s="23"/>
      <c r="ME30" s="23"/>
      <c r="MF30" s="23"/>
      <c r="MG30" s="23"/>
      <c r="MH30" s="23"/>
      <c r="MI30" s="23"/>
      <c r="MJ30" s="23"/>
      <c r="MK30" s="23"/>
      <c r="ML30" s="23"/>
      <c r="MM30" s="23"/>
      <c r="MN30" s="23"/>
      <c r="MO30" s="23"/>
      <c r="MP30" s="23"/>
      <c r="MQ30" s="23"/>
      <c r="MR30" s="23"/>
      <c r="MS30" s="23"/>
      <c r="MT30" s="23"/>
      <c r="MU30" s="23"/>
      <c r="MV30" s="23"/>
      <c r="MW30" s="23"/>
      <c r="MX30" s="23"/>
      <c r="MY30" s="23"/>
      <c r="MZ30" s="23"/>
      <c r="NA30" s="23"/>
      <c r="NB30" s="23"/>
      <c r="NC30" s="23"/>
      <c r="ND30" s="23"/>
      <c r="NE30" s="23"/>
      <c r="NF30" s="23"/>
      <c r="NG30" s="23"/>
      <c r="NH30" s="23"/>
      <c r="NI30" s="23"/>
      <c r="NJ30" s="23"/>
      <c r="NK30" s="23"/>
      <c r="NL30" s="23"/>
      <c r="NM30" s="23"/>
      <c r="NN30" s="23"/>
      <c r="NO30" s="27"/>
    </row>
    <row r="31" spans="1:379">
      <c r="A31">
        <f t="shared" si="0"/>
        <v>15</v>
      </c>
      <c r="H31" s="3"/>
      <c r="J31" s="3"/>
      <c r="L31" s="14"/>
      <c r="M31" s="10"/>
      <c r="N31" s="22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/>
      <c r="EL31" s="23"/>
      <c r="EM31" s="23"/>
      <c r="EN31" s="23"/>
      <c r="EO31" s="23"/>
      <c r="EP31" s="23"/>
      <c r="EQ31" s="23"/>
      <c r="ER31" s="23"/>
      <c r="ES31" s="23"/>
      <c r="ET31" s="23"/>
      <c r="EU31" s="23"/>
      <c r="EV31" s="23"/>
      <c r="EW31" s="23"/>
      <c r="EX31" s="23"/>
      <c r="EY31" s="23"/>
      <c r="EZ31" s="23"/>
      <c r="FA31" s="23"/>
      <c r="FB31" s="23"/>
      <c r="FC31" s="23"/>
      <c r="FD31" s="23"/>
      <c r="FE31" s="23"/>
      <c r="FF31" s="23"/>
      <c r="FG31" s="23"/>
      <c r="FH31" s="23"/>
      <c r="FI31" s="23"/>
      <c r="FJ31" s="23"/>
      <c r="FK31" s="23"/>
      <c r="FL31" s="23"/>
      <c r="FM31" s="23"/>
      <c r="FN31" s="23"/>
      <c r="FO31" s="23"/>
      <c r="FP31" s="23"/>
      <c r="FQ31" s="23"/>
      <c r="FR31" s="23"/>
      <c r="FS31" s="23"/>
      <c r="FT31" s="23"/>
      <c r="FU31" s="23"/>
      <c r="FV31" s="23"/>
      <c r="FW31" s="23"/>
      <c r="FX31" s="23"/>
      <c r="FY31" s="23"/>
      <c r="FZ31" s="23"/>
      <c r="GA31" s="23"/>
      <c r="GB31" s="23"/>
      <c r="GC31" s="23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  <c r="IL31" s="23"/>
      <c r="IM31" s="23"/>
      <c r="IN31" s="23"/>
      <c r="IO31" s="23"/>
      <c r="IP31" s="23"/>
      <c r="IQ31" s="23"/>
      <c r="IR31" s="23"/>
      <c r="IS31" s="23"/>
      <c r="IT31" s="23"/>
      <c r="IU31" s="23"/>
      <c r="IV31" s="23"/>
      <c r="IW31" s="23"/>
      <c r="IX31" s="23"/>
      <c r="IY31" s="23"/>
      <c r="IZ31" s="23"/>
      <c r="JA31" s="23"/>
      <c r="JB31" s="23"/>
      <c r="JC31" s="23"/>
      <c r="JD31" s="23"/>
      <c r="JE31" s="23"/>
      <c r="JF31" s="23"/>
      <c r="JG31" s="23"/>
      <c r="JH31" s="23"/>
      <c r="JI31" s="23"/>
      <c r="JJ31" s="23"/>
      <c r="JK31" s="23"/>
      <c r="JL31" s="23"/>
      <c r="JM31" s="23"/>
      <c r="JN31" s="23"/>
      <c r="JO31" s="23"/>
      <c r="JP31" s="23"/>
      <c r="JQ31" s="23"/>
      <c r="JR31" s="23"/>
      <c r="JS31" s="23"/>
      <c r="JT31" s="23"/>
      <c r="JU31" s="23"/>
      <c r="JV31" s="23"/>
      <c r="JW31" s="23"/>
      <c r="JX31" s="23"/>
      <c r="JY31" s="23"/>
      <c r="JZ31" s="23"/>
      <c r="KA31" s="23"/>
      <c r="KB31" s="23"/>
      <c r="KC31" s="23"/>
      <c r="KD31" s="23"/>
      <c r="KE31" s="23"/>
      <c r="KF31" s="23"/>
      <c r="KG31" s="23"/>
      <c r="KH31" s="23"/>
      <c r="KI31" s="23"/>
      <c r="KJ31" s="23"/>
      <c r="KK31" s="23"/>
      <c r="KL31" s="23"/>
      <c r="KM31" s="23"/>
      <c r="KN31" s="23"/>
      <c r="KO31" s="23"/>
      <c r="KP31" s="23"/>
      <c r="KQ31" s="23"/>
      <c r="KR31" s="23"/>
      <c r="KS31" s="23"/>
      <c r="KT31" s="23"/>
      <c r="KU31" s="23"/>
      <c r="KV31" s="23"/>
      <c r="KW31" s="23"/>
      <c r="KX31" s="23"/>
      <c r="KY31" s="23"/>
      <c r="KZ31" s="23"/>
      <c r="LA31" s="23"/>
      <c r="LB31" s="23"/>
      <c r="LC31" s="23"/>
      <c r="LD31" s="23"/>
      <c r="LE31" s="23"/>
      <c r="LF31" s="23"/>
      <c r="LG31" s="23"/>
      <c r="LH31" s="23"/>
      <c r="LI31" s="23"/>
      <c r="LJ31" s="23"/>
      <c r="LK31" s="23"/>
      <c r="LL31" s="23"/>
      <c r="LM31" s="23"/>
      <c r="LN31" s="23"/>
      <c r="LO31" s="23"/>
      <c r="LP31" s="23"/>
      <c r="LQ31" s="23"/>
      <c r="LR31" s="23"/>
      <c r="LS31" s="23"/>
      <c r="LT31" s="23"/>
      <c r="LU31" s="23"/>
      <c r="LV31" s="23"/>
      <c r="LW31" s="23"/>
      <c r="LX31" s="23"/>
      <c r="LY31" s="23"/>
      <c r="LZ31" s="23"/>
      <c r="MA31" s="23"/>
      <c r="MB31" s="23"/>
      <c r="MC31" s="23"/>
      <c r="MD31" s="23"/>
      <c r="ME31" s="23"/>
      <c r="MF31" s="23"/>
      <c r="MG31" s="23"/>
      <c r="MH31" s="23"/>
      <c r="MI31" s="23"/>
      <c r="MJ31" s="23"/>
      <c r="MK31" s="23"/>
      <c r="ML31" s="23"/>
      <c r="MM31" s="23"/>
      <c r="MN31" s="23"/>
      <c r="MO31" s="23"/>
      <c r="MP31" s="23"/>
      <c r="MQ31" s="23"/>
      <c r="MR31" s="23"/>
      <c r="MS31" s="23"/>
      <c r="MT31" s="23"/>
      <c r="MU31" s="23"/>
      <c r="MV31" s="23"/>
      <c r="MW31" s="23"/>
      <c r="MX31" s="23"/>
      <c r="MY31" s="23"/>
      <c r="MZ31" s="23"/>
      <c r="NA31" s="23"/>
      <c r="NB31" s="23"/>
      <c r="NC31" s="23"/>
      <c r="ND31" s="23"/>
      <c r="NE31" s="23"/>
      <c r="NF31" s="23"/>
      <c r="NG31" s="23"/>
      <c r="NH31" s="23"/>
      <c r="NI31" s="23"/>
      <c r="NJ31" s="23"/>
      <c r="NK31" s="23"/>
      <c r="NL31" s="23"/>
      <c r="NM31" s="23"/>
      <c r="NN31" s="23"/>
      <c r="NO31" s="27"/>
    </row>
    <row r="32" spans="1:379">
      <c r="A32">
        <f t="shared" si="0"/>
        <v>16</v>
      </c>
      <c r="H32" s="3"/>
      <c r="J32" s="3"/>
      <c r="L32" s="14"/>
      <c r="M32" s="10"/>
      <c r="N32" s="22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23"/>
      <c r="EH32" s="23"/>
      <c r="EI32" s="23"/>
      <c r="EJ32" s="23"/>
      <c r="EK32" s="23"/>
      <c r="EL32" s="23"/>
      <c r="EM32" s="23"/>
      <c r="EN32" s="23"/>
      <c r="EO32" s="23"/>
      <c r="EP32" s="23"/>
      <c r="EQ32" s="23"/>
      <c r="ER32" s="23"/>
      <c r="ES32" s="23"/>
      <c r="ET32" s="23"/>
      <c r="EU32" s="23"/>
      <c r="EV32" s="23"/>
      <c r="EW32" s="23"/>
      <c r="EX32" s="23"/>
      <c r="EY32" s="23"/>
      <c r="EZ32" s="23"/>
      <c r="FA32" s="23"/>
      <c r="FB32" s="23"/>
      <c r="FC32" s="23"/>
      <c r="FD32" s="23"/>
      <c r="FE32" s="23"/>
      <c r="FF32" s="23"/>
      <c r="FG32" s="23"/>
      <c r="FH32" s="23"/>
      <c r="FI32" s="23"/>
      <c r="FJ32" s="23"/>
      <c r="FK32" s="23"/>
      <c r="FL32" s="23"/>
      <c r="FM32" s="23"/>
      <c r="FN32" s="23"/>
      <c r="FO32" s="23"/>
      <c r="FP32" s="23"/>
      <c r="FQ32" s="23"/>
      <c r="FR32" s="23"/>
      <c r="FS32" s="23"/>
      <c r="FT32" s="23"/>
      <c r="FU32" s="23"/>
      <c r="FV32" s="23"/>
      <c r="FW32" s="23"/>
      <c r="FX32" s="23"/>
      <c r="FY32" s="23"/>
      <c r="FZ32" s="23"/>
      <c r="GA32" s="23"/>
      <c r="GB32" s="23"/>
      <c r="GC32" s="23"/>
      <c r="GD32" s="23"/>
      <c r="GE32" s="23"/>
      <c r="GF32" s="23"/>
      <c r="GG32" s="23"/>
      <c r="GH32" s="23"/>
      <c r="GI32" s="23"/>
      <c r="GJ32" s="23"/>
      <c r="GK32" s="23"/>
      <c r="GL32" s="23"/>
      <c r="GM32" s="23"/>
      <c r="GN32" s="23"/>
      <c r="GO32" s="23"/>
      <c r="GP32" s="23"/>
      <c r="GQ32" s="23"/>
      <c r="GR32" s="23"/>
      <c r="GS32" s="23"/>
      <c r="GT32" s="23"/>
      <c r="GU32" s="23"/>
      <c r="GV32" s="23"/>
      <c r="GW32" s="23"/>
      <c r="GX32" s="23"/>
      <c r="GY32" s="23"/>
      <c r="GZ32" s="23"/>
      <c r="HA32" s="23"/>
      <c r="HB32" s="23"/>
      <c r="HC32" s="23"/>
      <c r="HD32" s="23"/>
      <c r="HE32" s="23"/>
      <c r="HF32" s="23"/>
      <c r="HG32" s="23"/>
      <c r="HH32" s="23"/>
      <c r="HI32" s="23"/>
      <c r="HJ32" s="23"/>
      <c r="HK32" s="23"/>
      <c r="HL32" s="23"/>
      <c r="HM32" s="23"/>
      <c r="HN32" s="23"/>
      <c r="HO32" s="23"/>
      <c r="HP32" s="23"/>
      <c r="HQ32" s="23"/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  <c r="IL32" s="23"/>
      <c r="IM32" s="23"/>
      <c r="IN32" s="23"/>
      <c r="IO32" s="23"/>
      <c r="IP32" s="23"/>
      <c r="IQ32" s="23"/>
      <c r="IR32" s="23"/>
      <c r="IS32" s="23"/>
      <c r="IT32" s="23"/>
      <c r="IU32" s="23"/>
      <c r="IV32" s="23"/>
      <c r="IW32" s="23"/>
      <c r="IX32" s="23"/>
      <c r="IY32" s="23"/>
      <c r="IZ32" s="23"/>
      <c r="JA32" s="23"/>
      <c r="JB32" s="23"/>
      <c r="JC32" s="23"/>
      <c r="JD32" s="23"/>
      <c r="JE32" s="23"/>
      <c r="JF32" s="23"/>
      <c r="JG32" s="23"/>
      <c r="JH32" s="23"/>
      <c r="JI32" s="23"/>
      <c r="JJ32" s="23"/>
      <c r="JK32" s="23"/>
      <c r="JL32" s="23"/>
      <c r="JM32" s="23"/>
      <c r="JN32" s="23"/>
      <c r="JO32" s="23"/>
      <c r="JP32" s="23"/>
      <c r="JQ32" s="23"/>
      <c r="JR32" s="23"/>
      <c r="JS32" s="23"/>
      <c r="JT32" s="23"/>
      <c r="JU32" s="23"/>
      <c r="JV32" s="23"/>
      <c r="JW32" s="23"/>
      <c r="JX32" s="23"/>
      <c r="JY32" s="23"/>
      <c r="JZ32" s="23"/>
      <c r="KA32" s="23"/>
      <c r="KB32" s="23"/>
      <c r="KC32" s="23"/>
      <c r="KD32" s="23"/>
      <c r="KE32" s="23"/>
      <c r="KF32" s="23"/>
      <c r="KG32" s="23"/>
      <c r="KH32" s="23"/>
      <c r="KI32" s="23"/>
      <c r="KJ32" s="23"/>
      <c r="KK32" s="23"/>
      <c r="KL32" s="23"/>
      <c r="KM32" s="23"/>
      <c r="KN32" s="23"/>
      <c r="KO32" s="23"/>
      <c r="KP32" s="23"/>
      <c r="KQ32" s="23"/>
      <c r="KR32" s="23"/>
      <c r="KS32" s="23"/>
      <c r="KT32" s="23"/>
      <c r="KU32" s="23"/>
      <c r="KV32" s="23"/>
      <c r="KW32" s="23"/>
      <c r="KX32" s="23"/>
      <c r="KY32" s="23"/>
      <c r="KZ32" s="23"/>
      <c r="LA32" s="23"/>
      <c r="LB32" s="23"/>
      <c r="LC32" s="23"/>
      <c r="LD32" s="23"/>
      <c r="LE32" s="23"/>
      <c r="LF32" s="23"/>
      <c r="LG32" s="23"/>
      <c r="LH32" s="23"/>
      <c r="LI32" s="23"/>
      <c r="LJ32" s="23"/>
      <c r="LK32" s="23"/>
      <c r="LL32" s="23"/>
      <c r="LM32" s="23"/>
      <c r="LN32" s="23"/>
      <c r="LO32" s="23"/>
      <c r="LP32" s="23"/>
      <c r="LQ32" s="23"/>
      <c r="LR32" s="23"/>
      <c r="LS32" s="23"/>
      <c r="LT32" s="23"/>
      <c r="LU32" s="23"/>
      <c r="LV32" s="23"/>
      <c r="LW32" s="23"/>
      <c r="LX32" s="23"/>
      <c r="LY32" s="23"/>
      <c r="LZ32" s="23"/>
      <c r="MA32" s="23"/>
      <c r="MB32" s="23"/>
      <c r="MC32" s="23"/>
      <c r="MD32" s="23"/>
      <c r="ME32" s="23"/>
      <c r="MF32" s="23"/>
      <c r="MG32" s="23"/>
      <c r="MH32" s="23"/>
      <c r="MI32" s="23"/>
      <c r="MJ32" s="23"/>
      <c r="MK32" s="23"/>
      <c r="ML32" s="23"/>
      <c r="MM32" s="23"/>
      <c r="MN32" s="23"/>
      <c r="MO32" s="23"/>
      <c r="MP32" s="23"/>
      <c r="MQ32" s="23"/>
      <c r="MR32" s="23"/>
      <c r="MS32" s="23"/>
      <c r="MT32" s="23"/>
      <c r="MU32" s="23"/>
      <c r="MV32" s="23"/>
      <c r="MW32" s="23"/>
      <c r="MX32" s="23"/>
      <c r="MY32" s="23"/>
      <c r="MZ32" s="23"/>
      <c r="NA32" s="23"/>
      <c r="NB32" s="23"/>
      <c r="NC32" s="23"/>
      <c r="ND32" s="23"/>
      <c r="NE32" s="23"/>
      <c r="NF32" s="23"/>
      <c r="NG32" s="23"/>
      <c r="NH32" s="23"/>
      <c r="NI32" s="23"/>
      <c r="NJ32" s="23"/>
      <c r="NK32" s="23"/>
      <c r="NL32" s="23"/>
      <c r="NM32" s="23"/>
      <c r="NN32" s="23"/>
      <c r="NO32" s="27"/>
    </row>
    <row r="33" spans="1:379">
      <c r="A33">
        <f t="shared" si="0"/>
        <v>17</v>
      </c>
      <c r="H33" s="3"/>
      <c r="J33" s="3"/>
      <c r="L33" s="14"/>
      <c r="M33" s="10"/>
      <c r="N33" s="22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  <c r="FE33" s="23"/>
      <c r="FF33" s="23"/>
      <c r="FG33" s="23"/>
      <c r="FH33" s="23"/>
      <c r="FI33" s="23"/>
      <c r="FJ33" s="23"/>
      <c r="FK33" s="23"/>
      <c r="FL33" s="23"/>
      <c r="FM33" s="23"/>
      <c r="FN33" s="23"/>
      <c r="FO33" s="23"/>
      <c r="FP33" s="23"/>
      <c r="FQ33" s="23"/>
      <c r="FR33" s="23"/>
      <c r="FS33" s="23"/>
      <c r="FT33" s="23"/>
      <c r="FU33" s="23"/>
      <c r="FV33" s="23"/>
      <c r="FW33" s="23"/>
      <c r="FX33" s="23"/>
      <c r="FY33" s="23"/>
      <c r="FZ33" s="23"/>
      <c r="GA33" s="23"/>
      <c r="GB33" s="23"/>
      <c r="GC33" s="23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  <c r="IW33" s="23"/>
      <c r="IX33" s="23"/>
      <c r="IY33" s="23"/>
      <c r="IZ33" s="23"/>
      <c r="JA33" s="23"/>
      <c r="JB33" s="23"/>
      <c r="JC33" s="23"/>
      <c r="JD33" s="23"/>
      <c r="JE33" s="23"/>
      <c r="JF33" s="23"/>
      <c r="JG33" s="23"/>
      <c r="JH33" s="23"/>
      <c r="JI33" s="23"/>
      <c r="JJ33" s="23"/>
      <c r="JK33" s="23"/>
      <c r="JL33" s="23"/>
      <c r="JM33" s="23"/>
      <c r="JN33" s="23"/>
      <c r="JO33" s="23"/>
      <c r="JP33" s="23"/>
      <c r="JQ33" s="23"/>
      <c r="JR33" s="23"/>
      <c r="JS33" s="23"/>
      <c r="JT33" s="23"/>
      <c r="JU33" s="23"/>
      <c r="JV33" s="23"/>
      <c r="JW33" s="23"/>
      <c r="JX33" s="23"/>
      <c r="JY33" s="23"/>
      <c r="JZ33" s="23"/>
      <c r="KA33" s="23"/>
      <c r="KB33" s="23"/>
      <c r="KC33" s="23"/>
      <c r="KD33" s="23"/>
      <c r="KE33" s="23"/>
      <c r="KF33" s="23"/>
      <c r="KG33" s="23"/>
      <c r="KH33" s="23"/>
      <c r="KI33" s="23"/>
      <c r="KJ33" s="23"/>
      <c r="KK33" s="23"/>
      <c r="KL33" s="23"/>
      <c r="KM33" s="23"/>
      <c r="KN33" s="23"/>
      <c r="KO33" s="23"/>
      <c r="KP33" s="23"/>
      <c r="KQ33" s="23"/>
      <c r="KR33" s="23"/>
      <c r="KS33" s="23"/>
      <c r="KT33" s="23"/>
      <c r="KU33" s="23"/>
      <c r="KV33" s="23"/>
      <c r="KW33" s="23"/>
      <c r="KX33" s="23"/>
      <c r="KY33" s="23"/>
      <c r="KZ33" s="23"/>
      <c r="LA33" s="23"/>
      <c r="LB33" s="23"/>
      <c r="LC33" s="23"/>
      <c r="LD33" s="23"/>
      <c r="LE33" s="23"/>
      <c r="LF33" s="23"/>
      <c r="LG33" s="23"/>
      <c r="LH33" s="23"/>
      <c r="LI33" s="23"/>
      <c r="LJ33" s="23"/>
      <c r="LK33" s="23"/>
      <c r="LL33" s="23"/>
      <c r="LM33" s="23"/>
      <c r="LN33" s="23"/>
      <c r="LO33" s="23"/>
      <c r="LP33" s="23"/>
      <c r="LQ33" s="23"/>
      <c r="LR33" s="23"/>
      <c r="LS33" s="23"/>
      <c r="LT33" s="23"/>
      <c r="LU33" s="23"/>
      <c r="LV33" s="23"/>
      <c r="LW33" s="23"/>
      <c r="LX33" s="23"/>
      <c r="LY33" s="23"/>
      <c r="LZ33" s="23"/>
      <c r="MA33" s="23"/>
      <c r="MB33" s="23"/>
      <c r="MC33" s="23"/>
      <c r="MD33" s="23"/>
      <c r="ME33" s="23"/>
      <c r="MF33" s="23"/>
      <c r="MG33" s="23"/>
      <c r="MH33" s="23"/>
      <c r="MI33" s="23"/>
      <c r="MJ33" s="23"/>
      <c r="MK33" s="23"/>
      <c r="ML33" s="23"/>
      <c r="MM33" s="23"/>
      <c r="MN33" s="23"/>
      <c r="MO33" s="23"/>
      <c r="MP33" s="23"/>
      <c r="MQ33" s="23"/>
      <c r="MR33" s="23"/>
      <c r="MS33" s="23"/>
      <c r="MT33" s="23"/>
      <c r="MU33" s="23"/>
      <c r="MV33" s="23"/>
      <c r="MW33" s="23"/>
      <c r="MX33" s="23"/>
      <c r="MY33" s="23"/>
      <c r="MZ33" s="23"/>
      <c r="NA33" s="23"/>
      <c r="NB33" s="23"/>
      <c r="NC33" s="23"/>
      <c r="ND33" s="23"/>
      <c r="NE33" s="23"/>
      <c r="NF33" s="23"/>
      <c r="NG33" s="23"/>
      <c r="NH33" s="23"/>
      <c r="NI33" s="23"/>
      <c r="NJ33" s="23"/>
      <c r="NK33" s="23"/>
      <c r="NL33" s="23"/>
      <c r="NM33" s="23"/>
      <c r="NN33" s="23"/>
      <c r="NO33" s="27"/>
    </row>
    <row r="34" spans="1:379">
      <c r="A34">
        <f t="shared" si="0"/>
        <v>18</v>
      </c>
      <c r="H34" s="3"/>
      <c r="J34" s="3"/>
      <c r="L34" s="14"/>
      <c r="M34" s="10"/>
      <c r="N34" s="22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/>
      <c r="EL34" s="23"/>
      <c r="EM34" s="23"/>
      <c r="EN34" s="23"/>
      <c r="EO34" s="23"/>
      <c r="EP34" s="23"/>
      <c r="EQ34" s="23"/>
      <c r="ER34" s="23"/>
      <c r="ES34" s="23"/>
      <c r="ET34" s="23"/>
      <c r="EU34" s="23"/>
      <c r="EV34" s="23"/>
      <c r="EW34" s="23"/>
      <c r="EX34" s="23"/>
      <c r="EY34" s="23"/>
      <c r="EZ34" s="23"/>
      <c r="FA34" s="23"/>
      <c r="FB34" s="23"/>
      <c r="FC34" s="23"/>
      <c r="FD34" s="23"/>
      <c r="FE34" s="23"/>
      <c r="FF34" s="23"/>
      <c r="FG34" s="23"/>
      <c r="FH34" s="23"/>
      <c r="FI34" s="23"/>
      <c r="FJ34" s="23"/>
      <c r="FK34" s="23"/>
      <c r="FL34" s="23"/>
      <c r="FM34" s="23"/>
      <c r="FN34" s="23"/>
      <c r="FO34" s="23"/>
      <c r="FP34" s="23"/>
      <c r="FQ34" s="23"/>
      <c r="FR34" s="23"/>
      <c r="FS34" s="23"/>
      <c r="FT34" s="23"/>
      <c r="FU34" s="23"/>
      <c r="FV34" s="23"/>
      <c r="FW34" s="23"/>
      <c r="FX34" s="23"/>
      <c r="FY34" s="23"/>
      <c r="FZ34" s="23"/>
      <c r="GA34" s="23"/>
      <c r="GB34" s="23"/>
      <c r="GC34" s="23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  <c r="IW34" s="23"/>
      <c r="IX34" s="23"/>
      <c r="IY34" s="23"/>
      <c r="IZ34" s="23"/>
      <c r="JA34" s="23"/>
      <c r="JB34" s="23"/>
      <c r="JC34" s="23"/>
      <c r="JD34" s="23"/>
      <c r="JE34" s="23"/>
      <c r="JF34" s="23"/>
      <c r="JG34" s="23"/>
      <c r="JH34" s="23"/>
      <c r="JI34" s="23"/>
      <c r="JJ34" s="23"/>
      <c r="JK34" s="23"/>
      <c r="JL34" s="23"/>
      <c r="JM34" s="23"/>
      <c r="JN34" s="23"/>
      <c r="JO34" s="23"/>
      <c r="JP34" s="23"/>
      <c r="JQ34" s="23"/>
      <c r="JR34" s="23"/>
      <c r="JS34" s="23"/>
      <c r="JT34" s="23"/>
      <c r="JU34" s="23"/>
      <c r="JV34" s="23"/>
      <c r="JW34" s="23"/>
      <c r="JX34" s="23"/>
      <c r="JY34" s="23"/>
      <c r="JZ34" s="23"/>
      <c r="KA34" s="23"/>
      <c r="KB34" s="23"/>
      <c r="KC34" s="23"/>
      <c r="KD34" s="23"/>
      <c r="KE34" s="23"/>
      <c r="KF34" s="23"/>
      <c r="KG34" s="23"/>
      <c r="KH34" s="23"/>
      <c r="KI34" s="23"/>
      <c r="KJ34" s="23"/>
      <c r="KK34" s="23"/>
      <c r="KL34" s="23"/>
      <c r="KM34" s="23"/>
      <c r="KN34" s="23"/>
      <c r="KO34" s="23"/>
      <c r="KP34" s="23"/>
      <c r="KQ34" s="23"/>
      <c r="KR34" s="23"/>
      <c r="KS34" s="23"/>
      <c r="KT34" s="23"/>
      <c r="KU34" s="23"/>
      <c r="KV34" s="23"/>
      <c r="KW34" s="23"/>
      <c r="KX34" s="23"/>
      <c r="KY34" s="23"/>
      <c r="KZ34" s="23"/>
      <c r="LA34" s="23"/>
      <c r="LB34" s="23"/>
      <c r="LC34" s="23"/>
      <c r="LD34" s="23"/>
      <c r="LE34" s="23"/>
      <c r="LF34" s="23"/>
      <c r="LG34" s="23"/>
      <c r="LH34" s="23"/>
      <c r="LI34" s="23"/>
      <c r="LJ34" s="23"/>
      <c r="LK34" s="23"/>
      <c r="LL34" s="23"/>
      <c r="LM34" s="23"/>
      <c r="LN34" s="23"/>
      <c r="LO34" s="23"/>
      <c r="LP34" s="23"/>
      <c r="LQ34" s="23"/>
      <c r="LR34" s="23"/>
      <c r="LS34" s="23"/>
      <c r="LT34" s="23"/>
      <c r="LU34" s="23"/>
      <c r="LV34" s="23"/>
      <c r="LW34" s="23"/>
      <c r="LX34" s="23"/>
      <c r="LY34" s="23"/>
      <c r="LZ34" s="23"/>
      <c r="MA34" s="23"/>
      <c r="MB34" s="23"/>
      <c r="MC34" s="23"/>
      <c r="MD34" s="23"/>
      <c r="ME34" s="23"/>
      <c r="MF34" s="23"/>
      <c r="MG34" s="23"/>
      <c r="MH34" s="23"/>
      <c r="MI34" s="23"/>
      <c r="MJ34" s="23"/>
      <c r="MK34" s="23"/>
      <c r="ML34" s="23"/>
      <c r="MM34" s="23"/>
      <c r="MN34" s="23"/>
      <c r="MO34" s="23"/>
      <c r="MP34" s="23"/>
      <c r="MQ34" s="23"/>
      <c r="MR34" s="23"/>
      <c r="MS34" s="23"/>
      <c r="MT34" s="23"/>
      <c r="MU34" s="23"/>
      <c r="MV34" s="23"/>
      <c r="MW34" s="23"/>
      <c r="MX34" s="23"/>
      <c r="MY34" s="23"/>
      <c r="MZ34" s="23"/>
      <c r="NA34" s="23"/>
      <c r="NB34" s="23"/>
      <c r="NC34" s="23"/>
      <c r="ND34" s="23"/>
      <c r="NE34" s="23"/>
      <c r="NF34" s="23"/>
      <c r="NG34" s="23"/>
      <c r="NH34" s="23"/>
      <c r="NI34" s="23"/>
      <c r="NJ34" s="23"/>
      <c r="NK34" s="23"/>
      <c r="NL34" s="23"/>
      <c r="NM34" s="23"/>
      <c r="NN34" s="23"/>
      <c r="NO34" s="27"/>
    </row>
    <row r="35" spans="1:379">
      <c r="A35">
        <f t="shared" si="0"/>
        <v>19</v>
      </c>
      <c r="H35" s="3"/>
      <c r="J35" s="3"/>
      <c r="L35" s="14"/>
      <c r="M35" s="10"/>
      <c r="N35" s="22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/>
      <c r="EL35" s="23"/>
      <c r="EM35" s="23"/>
      <c r="EN35" s="23"/>
      <c r="EO35" s="23"/>
      <c r="EP35" s="23"/>
      <c r="EQ35" s="23"/>
      <c r="ER35" s="23"/>
      <c r="ES35" s="23"/>
      <c r="ET35" s="23"/>
      <c r="EU35" s="23"/>
      <c r="EV35" s="23"/>
      <c r="EW35" s="23"/>
      <c r="EX35" s="23"/>
      <c r="EY35" s="23"/>
      <c r="EZ35" s="23"/>
      <c r="FA35" s="23"/>
      <c r="FB35" s="23"/>
      <c r="FC35" s="23"/>
      <c r="FD35" s="23"/>
      <c r="FE35" s="23"/>
      <c r="FF35" s="23"/>
      <c r="FG35" s="23"/>
      <c r="FH35" s="23"/>
      <c r="FI35" s="23"/>
      <c r="FJ35" s="23"/>
      <c r="FK35" s="23"/>
      <c r="FL35" s="23"/>
      <c r="FM35" s="23"/>
      <c r="FN35" s="23"/>
      <c r="FO35" s="23"/>
      <c r="FP35" s="23"/>
      <c r="FQ35" s="23"/>
      <c r="FR35" s="23"/>
      <c r="FS35" s="23"/>
      <c r="FT35" s="23"/>
      <c r="FU35" s="23"/>
      <c r="FV35" s="23"/>
      <c r="FW35" s="23"/>
      <c r="FX35" s="23"/>
      <c r="FY35" s="23"/>
      <c r="FZ35" s="23"/>
      <c r="GA35" s="23"/>
      <c r="GB35" s="23"/>
      <c r="GC35" s="23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  <c r="IW35" s="23"/>
      <c r="IX35" s="23"/>
      <c r="IY35" s="23"/>
      <c r="IZ35" s="23"/>
      <c r="JA35" s="23"/>
      <c r="JB35" s="23"/>
      <c r="JC35" s="23"/>
      <c r="JD35" s="23"/>
      <c r="JE35" s="23"/>
      <c r="JF35" s="23"/>
      <c r="JG35" s="23"/>
      <c r="JH35" s="23"/>
      <c r="JI35" s="23"/>
      <c r="JJ35" s="23"/>
      <c r="JK35" s="23"/>
      <c r="JL35" s="23"/>
      <c r="JM35" s="23"/>
      <c r="JN35" s="23"/>
      <c r="JO35" s="23"/>
      <c r="JP35" s="23"/>
      <c r="JQ35" s="23"/>
      <c r="JR35" s="23"/>
      <c r="JS35" s="23"/>
      <c r="JT35" s="23"/>
      <c r="JU35" s="23"/>
      <c r="JV35" s="23"/>
      <c r="JW35" s="23"/>
      <c r="JX35" s="23"/>
      <c r="JY35" s="23"/>
      <c r="JZ35" s="23"/>
      <c r="KA35" s="23"/>
      <c r="KB35" s="23"/>
      <c r="KC35" s="23"/>
      <c r="KD35" s="23"/>
      <c r="KE35" s="23"/>
      <c r="KF35" s="23"/>
      <c r="KG35" s="23"/>
      <c r="KH35" s="23"/>
      <c r="KI35" s="23"/>
      <c r="KJ35" s="23"/>
      <c r="KK35" s="23"/>
      <c r="KL35" s="23"/>
      <c r="KM35" s="23"/>
      <c r="KN35" s="23"/>
      <c r="KO35" s="23"/>
      <c r="KP35" s="23"/>
      <c r="KQ35" s="23"/>
      <c r="KR35" s="23"/>
      <c r="KS35" s="23"/>
      <c r="KT35" s="23"/>
      <c r="KU35" s="23"/>
      <c r="KV35" s="23"/>
      <c r="KW35" s="23"/>
      <c r="KX35" s="23"/>
      <c r="KY35" s="23"/>
      <c r="KZ35" s="23"/>
      <c r="LA35" s="23"/>
      <c r="LB35" s="23"/>
      <c r="LC35" s="23"/>
      <c r="LD35" s="23"/>
      <c r="LE35" s="23"/>
      <c r="LF35" s="23"/>
      <c r="LG35" s="23"/>
      <c r="LH35" s="23"/>
      <c r="LI35" s="23"/>
      <c r="LJ35" s="23"/>
      <c r="LK35" s="23"/>
      <c r="LL35" s="23"/>
      <c r="LM35" s="23"/>
      <c r="LN35" s="23"/>
      <c r="LO35" s="23"/>
      <c r="LP35" s="23"/>
      <c r="LQ35" s="23"/>
      <c r="LR35" s="23"/>
      <c r="LS35" s="23"/>
      <c r="LT35" s="23"/>
      <c r="LU35" s="23"/>
      <c r="LV35" s="23"/>
      <c r="LW35" s="23"/>
      <c r="LX35" s="23"/>
      <c r="LY35" s="23"/>
      <c r="LZ35" s="23"/>
      <c r="MA35" s="23"/>
      <c r="MB35" s="23"/>
      <c r="MC35" s="23"/>
      <c r="MD35" s="23"/>
      <c r="ME35" s="23"/>
      <c r="MF35" s="23"/>
      <c r="MG35" s="23"/>
      <c r="MH35" s="23"/>
      <c r="MI35" s="23"/>
      <c r="MJ35" s="23"/>
      <c r="MK35" s="23"/>
      <c r="ML35" s="23"/>
      <c r="MM35" s="23"/>
      <c r="MN35" s="23"/>
      <c r="MO35" s="23"/>
      <c r="MP35" s="23"/>
      <c r="MQ35" s="23"/>
      <c r="MR35" s="23"/>
      <c r="MS35" s="23"/>
      <c r="MT35" s="23"/>
      <c r="MU35" s="23"/>
      <c r="MV35" s="23"/>
      <c r="MW35" s="23"/>
      <c r="MX35" s="23"/>
      <c r="MY35" s="23"/>
      <c r="MZ35" s="23"/>
      <c r="NA35" s="23"/>
      <c r="NB35" s="23"/>
      <c r="NC35" s="23"/>
      <c r="ND35" s="23"/>
      <c r="NE35" s="23"/>
      <c r="NF35" s="23"/>
      <c r="NG35" s="23"/>
      <c r="NH35" s="23"/>
      <c r="NI35" s="23"/>
      <c r="NJ35" s="23"/>
      <c r="NK35" s="23"/>
      <c r="NL35" s="23"/>
      <c r="NM35" s="23"/>
      <c r="NN35" s="23"/>
      <c r="NO35" s="27"/>
    </row>
    <row r="36" spans="1:379">
      <c r="A36">
        <f t="shared" si="0"/>
        <v>20</v>
      </c>
      <c r="H36" s="3"/>
      <c r="J36" s="3"/>
      <c r="L36" s="14"/>
      <c r="M36" s="10"/>
      <c r="N36" s="29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0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K36" s="30"/>
      <c r="NL36" s="30"/>
      <c r="NM36" s="30"/>
      <c r="NN36" s="30"/>
      <c r="NO36" s="31"/>
    </row>
    <row r="37" spans="1:379"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  <c r="EJ37" s="19"/>
      <c r="EK37" s="19"/>
      <c r="EL37" s="19"/>
      <c r="EM37" s="19"/>
      <c r="EN37" s="19"/>
      <c r="EO37" s="19"/>
      <c r="EP37" s="19"/>
      <c r="EQ37" s="19"/>
      <c r="ER37" s="19"/>
      <c r="ES37" s="19"/>
      <c r="ET37" s="19"/>
      <c r="EU37" s="19"/>
      <c r="EV37" s="19"/>
      <c r="EW37" s="19"/>
      <c r="EX37" s="19"/>
      <c r="EY37" s="19"/>
      <c r="EZ37" s="19"/>
      <c r="FA37" s="19"/>
      <c r="FB37" s="19"/>
      <c r="FC37" s="19"/>
      <c r="FD37" s="19"/>
      <c r="FE37" s="19"/>
      <c r="FF37" s="19"/>
      <c r="FG37" s="19"/>
      <c r="FH37" s="19"/>
      <c r="FI37" s="19"/>
      <c r="FJ37" s="19"/>
      <c r="FK37" s="19"/>
      <c r="FL37" s="19"/>
      <c r="FM37" s="19"/>
      <c r="FN37" s="19"/>
      <c r="FO37" s="19"/>
      <c r="FP37" s="19"/>
      <c r="FQ37" s="19"/>
      <c r="FR37" s="19"/>
      <c r="FS37" s="19"/>
      <c r="FT37" s="19"/>
      <c r="FU37" s="19"/>
      <c r="FV37" s="19"/>
      <c r="FW37" s="19"/>
      <c r="FX37" s="19"/>
      <c r="FY37" s="19"/>
      <c r="FZ37" s="19"/>
      <c r="GA37" s="19"/>
      <c r="GB37" s="19"/>
      <c r="GC37" s="19"/>
      <c r="GD37" s="19"/>
      <c r="GE37" s="19"/>
      <c r="GF37" s="19"/>
      <c r="GG37" s="19"/>
      <c r="GH37" s="19"/>
      <c r="GI37" s="19"/>
      <c r="GJ37" s="19"/>
      <c r="GK37" s="19"/>
      <c r="GL37" s="19"/>
      <c r="GM37" s="19"/>
      <c r="GN37" s="19"/>
      <c r="GO37" s="19"/>
      <c r="GP37" s="19"/>
      <c r="GQ37" s="19"/>
      <c r="GR37" s="19"/>
      <c r="GS37" s="19"/>
      <c r="GT37" s="19"/>
      <c r="GU37" s="19"/>
      <c r="GV37" s="19"/>
      <c r="GW37" s="19"/>
      <c r="GX37" s="19"/>
      <c r="GY37" s="19"/>
      <c r="GZ37" s="19"/>
      <c r="HA37" s="19"/>
      <c r="HB37" s="19"/>
      <c r="HC37" s="19"/>
      <c r="HD37" s="19"/>
      <c r="HE37" s="19"/>
      <c r="HF37" s="19"/>
      <c r="HG37" s="19"/>
      <c r="HH37" s="19"/>
      <c r="HI37" s="19"/>
      <c r="HJ37" s="19"/>
      <c r="HK37" s="19"/>
      <c r="HL37" s="19"/>
      <c r="HM37" s="19"/>
      <c r="HN37" s="19"/>
      <c r="HO37" s="19"/>
      <c r="HP37" s="19"/>
      <c r="HQ37" s="19"/>
      <c r="HR37" s="19"/>
      <c r="HS37" s="19"/>
      <c r="HT37" s="19"/>
      <c r="HU37" s="19"/>
      <c r="HV37" s="19"/>
      <c r="HW37" s="19"/>
      <c r="HX37" s="19"/>
      <c r="HY37" s="19"/>
      <c r="HZ37" s="19"/>
      <c r="IA37" s="19"/>
      <c r="IB37" s="19"/>
      <c r="IC37" s="19"/>
      <c r="ID37" s="19"/>
      <c r="IE37" s="19"/>
      <c r="IF37" s="19"/>
      <c r="IG37" s="19"/>
      <c r="IH37" s="19"/>
      <c r="II37" s="19"/>
      <c r="IJ37" s="19"/>
      <c r="IK37" s="19"/>
      <c r="IL37" s="19"/>
      <c r="IM37" s="19"/>
      <c r="IN37" s="19"/>
      <c r="IO37" s="19"/>
      <c r="IP37" s="19"/>
      <c r="IQ37" s="19"/>
      <c r="IR37" s="19"/>
      <c r="IS37" s="19"/>
      <c r="IT37" s="19"/>
      <c r="IU37" s="19"/>
      <c r="IV37" s="19"/>
      <c r="IW37" s="19"/>
      <c r="IX37" s="19"/>
      <c r="IY37" s="19"/>
      <c r="IZ37" s="19"/>
      <c r="JA37" s="19"/>
      <c r="JB37" s="19"/>
      <c r="JC37" s="19"/>
      <c r="JD37" s="19"/>
      <c r="JE37" s="19"/>
      <c r="JF37" s="19"/>
      <c r="JG37" s="19"/>
      <c r="JH37" s="19"/>
      <c r="JI37" s="19"/>
      <c r="JJ37" s="19"/>
      <c r="JK37" s="19"/>
      <c r="JL37" s="19"/>
      <c r="JM37" s="19"/>
      <c r="JN37" s="19"/>
      <c r="JO37" s="19"/>
      <c r="JP37" s="19"/>
      <c r="JQ37" s="19"/>
      <c r="JR37" s="19"/>
      <c r="JS37" s="19"/>
      <c r="JT37" s="19"/>
      <c r="JU37" s="19"/>
      <c r="JV37" s="19"/>
      <c r="JW37" s="19"/>
      <c r="JX37" s="19"/>
      <c r="JY37" s="19"/>
      <c r="JZ37" s="19"/>
      <c r="KA37" s="19"/>
      <c r="KB37" s="19"/>
      <c r="KC37" s="19"/>
      <c r="KD37" s="19"/>
      <c r="KE37" s="19"/>
      <c r="KF37" s="19"/>
      <c r="KG37" s="19"/>
      <c r="KH37" s="19"/>
      <c r="KI37" s="19"/>
      <c r="KJ37" s="19"/>
      <c r="KK37" s="19"/>
      <c r="KL37" s="19"/>
      <c r="KM37" s="19"/>
      <c r="KN37" s="19"/>
      <c r="KO37" s="19"/>
      <c r="KP37" s="19"/>
      <c r="KQ37" s="19"/>
      <c r="KR37" s="19"/>
      <c r="KS37" s="19"/>
      <c r="KT37" s="19"/>
      <c r="KU37" s="19"/>
      <c r="KV37" s="19"/>
      <c r="KW37" s="19"/>
      <c r="KX37" s="19"/>
      <c r="KY37" s="19"/>
      <c r="KZ37" s="19"/>
      <c r="LA37" s="19"/>
      <c r="LB37" s="19"/>
      <c r="LC37" s="19"/>
      <c r="LD37" s="19"/>
      <c r="LE37" s="19"/>
      <c r="LF37" s="19"/>
      <c r="LG37" s="19"/>
      <c r="LH37" s="19"/>
      <c r="LI37" s="19"/>
      <c r="LJ37" s="19"/>
      <c r="LK37" s="19"/>
      <c r="LL37" s="19"/>
      <c r="LM37" s="19"/>
      <c r="LN37" s="19"/>
      <c r="LO37" s="19"/>
      <c r="LP37" s="19"/>
      <c r="LQ37" s="19"/>
      <c r="LR37" s="19"/>
      <c r="LS37" s="19"/>
      <c r="LT37" s="19"/>
      <c r="LU37" s="19"/>
      <c r="LV37" s="19"/>
      <c r="LW37" s="19"/>
      <c r="LX37" s="19"/>
      <c r="LY37" s="19"/>
      <c r="LZ37" s="19"/>
      <c r="MA37" s="19"/>
      <c r="MB37" s="19"/>
      <c r="MC37" s="19"/>
      <c r="MD37" s="19"/>
      <c r="ME37" s="19"/>
      <c r="MF37" s="19"/>
      <c r="MG37" s="19"/>
      <c r="MH37" s="19"/>
      <c r="MI37" s="19"/>
      <c r="MJ37" s="19"/>
      <c r="MK37" s="19"/>
      <c r="ML37" s="19"/>
      <c r="MM37" s="19"/>
      <c r="MN37" s="19"/>
      <c r="MO37" s="19"/>
      <c r="MP37" s="19"/>
      <c r="MQ37" s="19"/>
      <c r="MR37" s="19"/>
      <c r="MS37" s="19"/>
      <c r="MT37" s="19"/>
      <c r="MU37" s="19"/>
      <c r="MV37" s="19"/>
      <c r="MW37" s="19"/>
      <c r="MX37" s="19"/>
      <c r="MY37" s="19"/>
      <c r="MZ37" s="19"/>
      <c r="NA37" s="19"/>
      <c r="NB37" s="19"/>
      <c r="NC37" s="19"/>
      <c r="ND37" s="19"/>
      <c r="NE37" s="19"/>
      <c r="NF37" s="19"/>
      <c r="NG37" s="19"/>
      <c r="NH37" s="19"/>
      <c r="NI37" s="19"/>
      <c r="NJ37" s="19"/>
      <c r="NK37" s="19"/>
      <c r="NL37" s="19"/>
      <c r="NM37" s="19"/>
      <c r="NN37" s="19"/>
      <c r="NO37" s="19"/>
    </row>
  </sheetData>
  <phoneticPr fontId="1"/>
  <conditionalFormatting sqref="N17:NO36">
    <cfRule type="expression" dxfId="6" priority="1" stopIfTrue="1">
      <formula>OR(WEEKDAY(N$14)=1, WEEKDAY(N$14)=7)</formula>
    </cfRule>
    <cfRule type="expression" dxfId="5" priority="2" stopIfTrue="1">
      <formula>COUNTIF(INDIRECT("_祝日[日付]"),N$14)=1</formula>
    </cfRule>
    <cfRule type="expression" dxfId="4" priority="3" stopIfTrue="1">
      <formula>AND(N$14&gt;=$H17,N$14&lt;=$J17,$K17="対応完了")</formula>
    </cfRule>
    <cfRule type="expression" dxfId="3" priority="4" stopIfTrue="1">
      <formula>AND(N$14&gt;=$H17,N$14&lt;=$J17,$J17&lt;TODAY())</formula>
    </cfRule>
    <cfRule type="expression" dxfId="2" priority="5" stopIfTrue="1">
      <formula>AND(N$14&gt;=$H17,N$14&lt;=$J17)</formula>
    </cfRule>
  </conditionalFormatting>
  <conditionalFormatting sqref="L17:L36">
    <cfRule type="iconSet" priority="6">
      <iconSet iconSet="5Quarters">
        <cfvo type="percent" val="0"/>
        <cfvo type="formula" val="0.25"/>
        <cfvo type="formula" val="0.5"/>
        <cfvo type="formula" val="0.75"/>
        <cfvo type="formula" val="1"/>
      </iconSet>
    </cfRule>
  </conditionalFormatting>
  <conditionalFormatting sqref="A17:M36">
    <cfRule type="expression" dxfId="1" priority="7" stopIfTrue="1">
      <formula>$K17="対応完了"</formula>
    </cfRule>
    <cfRule type="expression" dxfId="0" priority="8" stopIfTrue="1">
      <formula>AND($J17&lt;TODAY(),$J17&lt;&gt;"")</formula>
    </cfRule>
  </conditionalFormatting>
  <dataValidations count="1">
    <dataValidation type="list" allowBlank="1" showInputMessage="1" showErrorMessage="1" sqref="G17:G36" xr:uid="{38DA928E-C8E8-463E-B208-353D024B341F}">
      <formula1>INDIRECT("_PJメンバ")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2" r:id="rId4" name="Button 238">
              <controlPr defaultSize="0" print="0" autoFill="0" autoPict="0" macro="[0]!シートの条件付き書式を初期化する">
                <anchor moveWithCells="1" sizeWithCells="1">
                  <from>
                    <xdr:col>3</xdr:col>
                    <xdr:colOff>1162050</xdr:colOff>
                    <xdr:row>8</xdr:row>
                    <xdr:rowOff>142875</xdr:rowOff>
                  </from>
                  <to>
                    <xdr:col>4</xdr:col>
                    <xdr:colOff>733425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5" name="Button 250">
              <controlPr defaultSize="0" print="0" autoFill="0" autoPict="0" macro="[0]!WSBを初期化する">
                <anchor moveWithCells="1" sizeWithCells="1"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2</xdr:col>
                    <xdr:colOff>9525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6" name="Button 251">
              <controlPr defaultSize="0" print="0" autoFill="0" autoPict="0" macro="[0]!当日線を描画する">
                <anchor moveWithCells="1" sizeWithCells="1">
                  <from>
                    <xdr:col>3</xdr:col>
                    <xdr:colOff>1162050</xdr:colOff>
                    <xdr:row>2</xdr:row>
                    <xdr:rowOff>19050</xdr:rowOff>
                  </from>
                  <to>
                    <xdr:col>4</xdr:col>
                    <xdr:colOff>733425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7" name="Button 252">
              <controlPr defaultSize="0" print="0" autoFill="0" autoPict="0" macro="[0]!セルのメモを更新する">
                <anchor moveWithCells="1" sizeWithCells="1">
                  <from>
                    <xdr:col>3</xdr:col>
                    <xdr:colOff>1162050</xdr:colOff>
                    <xdr:row>6</xdr:row>
                    <xdr:rowOff>171450</xdr:rowOff>
                  </from>
                  <to>
                    <xdr:col>4</xdr:col>
                    <xdr:colOff>733425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8" name="Button 265">
              <controlPr defaultSize="0" print="0" autoFill="0" autoPict="0" macro="[0]!セルコメントの表示非表示を切り替える">
                <anchor moveWithCells="1" sizeWithCells="1">
                  <from>
                    <xdr:col>4</xdr:col>
                    <xdr:colOff>828675</xdr:colOff>
                    <xdr:row>6</xdr:row>
                    <xdr:rowOff>171450</xdr:rowOff>
                  </from>
                  <to>
                    <xdr:col>5</xdr:col>
                    <xdr:colOff>390525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9" name="Button 278">
              <controlPr defaultSize="0" print="0" autoFill="0" autoPict="0" macro="[0]!実績線を描画する">
                <anchor moveWithCells="1" sizeWithCells="1">
                  <from>
                    <xdr:col>3</xdr:col>
                    <xdr:colOff>1162050</xdr:colOff>
                    <xdr:row>3</xdr:row>
                    <xdr:rowOff>142875</xdr:rowOff>
                  </from>
                  <to>
                    <xdr:col>4</xdr:col>
                    <xdr:colOff>733425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0" name="Button 279">
              <controlPr defaultSize="0" print="0" autoFill="0" autoPict="0" macro="[0]!稲妻線を描画する">
                <anchor moveWithCells="1" sizeWithCells="1">
                  <from>
                    <xdr:col>3</xdr:col>
                    <xdr:colOff>1162050</xdr:colOff>
                    <xdr:row>5</xdr:row>
                    <xdr:rowOff>57150</xdr:rowOff>
                  </from>
                  <to>
                    <xdr:col>4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OFFSET(マスタ!$A$2,0,0,COUNTA(マスタ!$A:$A)-1)</xm:f>
          </x14:formula1>
          <xm:sqref>K17:K36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workbookViewId="0"/>
  </sheetViews>
  <sheetFormatPr defaultRowHeight="17.649999999999999"/>
  <cols>
    <col min="1" max="1" width="13.25" bestFit="1" customWidth="1"/>
    <col min="2" max="2" width="13.375" bestFit="1" customWidth="1"/>
  </cols>
  <sheetData>
    <row r="1" spans="1:2">
      <c r="A1" s="4" t="s">
        <v>23</v>
      </c>
      <c r="B1" s="4" t="s">
        <v>34</v>
      </c>
    </row>
    <row r="2" spans="1:2">
      <c r="A2" t="s">
        <v>24</v>
      </c>
      <c r="B2" t="s">
        <v>29</v>
      </c>
    </row>
    <row r="3" spans="1:2">
      <c r="A3" t="s">
        <v>25</v>
      </c>
      <c r="B3" t="s">
        <v>31</v>
      </c>
    </row>
    <row r="4" spans="1:2">
      <c r="A4" t="s">
        <v>26</v>
      </c>
      <c r="B4" t="s">
        <v>33</v>
      </c>
    </row>
    <row r="5" spans="1:2">
      <c r="A5" t="s">
        <v>27</v>
      </c>
    </row>
    <row r="6" spans="1:2">
      <c r="A6" t="s">
        <v>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2"/>
  <sheetViews>
    <sheetView workbookViewId="0">
      <pane ySplit="1" topLeftCell="A2" activePane="bottomLeft" state="frozen"/>
      <selection pane="bottomLeft" activeCell="A2" sqref="A2"/>
    </sheetView>
  </sheetViews>
  <sheetFormatPr defaultRowHeight="17.649999999999999"/>
  <cols>
    <col min="1" max="1" width="13" bestFit="1" customWidth="1"/>
    <col min="2" max="2" width="11.375" bestFit="1" customWidth="1"/>
  </cols>
  <sheetData>
    <row r="1" spans="1:2">
      <c r="A1" t="s">
        <v>35</v>
      </c>
      <c r="B1" t="s">
        <v>36</v>
      </c>
    </row>
    <row r="2" spans="1:2">
      <c r="A2" t="s">
        <v>5</v>
      </c>
      <c r="B2" s="3">
        <v>45292</v>
      </c>
    </row>
    <row r="3" spans="1:2">
      <c r="A3" t="s">
        <v>6</v>
      </c>
      <c r="B3" s="3">
        <v>45299</v>
      </c>
    </row>
    <row r="4" spans="1:2">
      <c r="A4" t="s">
        <v>7</v>
      </c>
      <c r="B4" s="3">
        <v>45333</v>
      </c>
    </row>
    <row r="5" spans="1:2">
      <c r="A5" t="s">
        <v>17</v>
      </c>
      <c r="B5" s="3">
        <v>45334</v>
      </c>
    </row>
    <row r="6" spans="1:2">
      <c r="A6" t="s">
        <v>8</v>
      </c>
      <c r="B6" s="3">
        <v>45345</v>
      </c>
    </row>
    <row r="7" spans="1:2">
      <c r="A7" t="s">
        <v>9</v>
      </c>
      <c r="B7" s="3">
        <v>45371</v>
      </c>
    </row>
    <row r="8" spans="1:2">
      <c r="A8" t="s">
        <v>10</v>
      </c>
      <c r="B8" s="3">
        <v>45411</v>
      </c>
    </row>
    <row r="9" spans="1:2">
      <c r="A9" t="s">
        <v>11</v>
      </c>
      <c r="B9" s="3">
        <v>45415</v>
      </c>
    </row>
    <row r="10" spans="1:2">
      <c r="A10" t="s">
        <v>12</v>
      </c>
      <c r="B10" s="3">
        <v>45416</v>
      </c>
    </row>
    <row r="11" spans="1:2">
      <c r="A11" t="s">
        <v>13</v>
      </c>
      <c r="B11" s="3">
        <v>45417</v>
      </c>
    </row>
    <row r="12" spans="1:2">
      <c r="A12" t="s">
        <v>17</v>
      </c>
      <c r="B12" s="3">
        <v>45418</v>
      </c>
    </row>
    <row r="13" spans="1:2">
      <c r="A13" t="s">
        <v>14</v>
      </c>
      <c r="B13" s="3">
        <v>45488</v>
      </c>
    </row>
    <row r="14" spans="1:2">
      <c r="A14" t="s">
        <v>16</v>
      </c>
      <c r="B14" s="3">
        <v>45515</v>
      </c>
    </row>
    <row r="15" spans="1:2">
      <c r="A15" t="s">
        <v>17</v>
      </c>
      <c r="B15" s="3">
        <v>45516</v>
      </c>
    </row>
    <row r="16" spans="1:2">
      <c r="A16" t="s">
        <v>18</v>
      </c>
      <c r="B16" s="3">
        <v>45551</v>
      </c>
    </row>
    <row r="17" spans="1:2">
      <c r="A17" t="s">
        <v>19</v>
      </c>
      <c r="B17" s="3">
        <v>45557</v>
      </c>
    </row>
    <row r="18" spans="1:2">
      <c r="A18" t="s">
        <v>17</v>
      </c>
      <c r="B18" s="3">
        <v>45558</v>
      </c>
    </row>
    <row r="19" spans="1:2">
      <c r="A19" t="s">
        <v>15</v>
      </c>
      <c r="B19" s="3">
        <v>45579</v>
      </c>
    </row>
    <row r="20" spans="1:2">
      <c r="A20" t="s">
        <v>20</v>
      </c>
      <c r="B20" s="3">
        <v>45599</v>
      </c>
    </row>
    <row r="21" spans="1:2">
      <c r="A21" t="s">
        <v>17</v>
      </c>
      <c r="B21" s="3">
        <v>45600</v>
      </c>
    </row>
    <row r="22" spans="1:2">
      <c r="A22" t="s">
        <v>21</v>
      </c>
      <c r="B22" s="3">
        <v>45619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2B5DED-B480-4128-B51B-5C68AB82DB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WBS</vt:lpstr>
      <vt:lpstr>マスタ</vt:lpstr>
      <vt:lpstr>祝日</vt:lpstr>
      <vt:lpstr>_calendar</vt:lpstr>
      <vt:lpstr>_category</vt:lpstr>
      <vt:lpstr>_endDate</vt:lpstr>
      <vt:lpstr>_progress</vt:lpstr>
      <vt:lpstr>_startDate</vt:lpstr>
      <vt:lpstr>_status</vt:lpstr>
      <vt:lpstr>_subCategory</vt:lpstr>
      <vt:lpstr>_subSubCategory</vt:lpstr>
      <vt:lpstr>_taskStart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大江広司</dc:creator>
  <cp:lastModifiedBy>広司 大江</cp:lastModifiedBy>
  <dcterms:created xsi:type="dcterms:W3CDTF">2015-06-05T18:19:34Z</dcterms:created>
  <dcterms:modified xsi:type="dcterms:W3CDTF">2024-06-22T12:26:10Z</dcterms:modified>
</cp:coreProperties>
</file>