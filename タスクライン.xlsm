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taskline\"/>
    </mc:Choice>
  </mc:AlternateContent>
  <xr:revisionPtr revIDLastSave="0" documentId="13_ncr:1_{C8BBB743-4ACD-4C62-AB9F-781784DC3456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WBS" sheetId="1" r:id="rId1"/>
    <sheet name="マスタ" sheetId="2" r:id="rId2"/>
    <sheet name="祝日" sheetId="3" r:id="rId3"/>
  </sheets>
  <functionGroups builtInGroupCount="19"/>
  <definedNames>
    <definedName name="_calendar">WBS!$N$2</definedName>
    <definedName name="_category">WBS[[#Headers],[大分類]]</definedName>
    <definedName name="_endDate">WBS[[#Headers],[終了日]]</definedName>
    <definedName name="_xlnm._FilterDatabase" localSheetId="0" hidden="1">WBS!$A$4:$M$27</definedName>
    <definedName name="_phase">WBS[[#Headers],[工程]]</definedName>
    <definedName name="_progress">WBS[[#Headers],[進捗率]]</definedName>
    <definedName name="_startDate">WBS[[#Headers],[開始日]]</definedName>
    <definedName name="_status">WBS[[#Headers],[ステータス]]</definedName>
    <definedName name="_subCategory">WBS[[#Headers],[中分類]]</definedName>
    <definedName name="_subSubCategory">WBS[[#Headers],[小分類]]</definedName>
    <definedName name="_taskStart">WBS!$A$5</definedName>
    <definedName name="ExternalData_1" localSheetId="2" hidden="1">祝日!$A$1:$B$22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1" l="1"/>
  <c r="J7" i="1"/>
  <c r="A7" i="1"/>
  <c r="A8" i="1"/>
  <c r="A9" i="1"/>
  <c r="A5" i="1"/>
  <c r="A6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5F46E-1968-424D-A4B8-8107A056619E}" keepAlive="1" name="クエリ - 祝日" description="ブック内の '祝日' クエリへの接続です。" type="5" refreshedVersion="8" background="1" saveData="1">
    <dbPr connection="Provider=Microsoft.Mashup.OleDb.1;Data Source=$Workbook$;Location=祝日;Extended Properties=&quot;&quot;" command="SELECT * FROM [祝日]"/>
  </connection>
</connections>
</file>

<file path=xl/sharedStrings.xml><?xml version="1.0" encoding="utf-8"?>
<sst xmlns="http://schemas.openxmlformats.org/spreadsheetml/2006/main" count="68" uniqueCount="51">
  <si>
    <t>担当者</t>
    <rPh sb="0" eb="3">
      <t>タントウシャ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</si>
  <si>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</si>
  <si>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</si>
  <si>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備考</t>
    <rPh sb="0" eb="2">
      <t>ビコウ</t>
    </rPh>
    <phoneticPr fontId="1"/>
  </si>
  <si>
    <t>保留</t>
    <rPh sb="0" eb="2">
      <t>ホリュウ</t>
    </rPh>
    <phoneticPr fontId="1"/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</si>
  <si>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</si>
  <si>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</si>
  <si>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</si>
  <si>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</si>
  <si>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</si>
  <si>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</si>
  <si>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</si>
  <si>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</si>
  <si>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</si>
  <si>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</si>
  <si>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</si>
  <si>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</si>
  <si>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休日</t>
  </si>
  <si>
    <t>敬老の日</t>
  </si>
  <si>
    <t>秋分の日</t>
  </si>
  <si>
    <t>文化の日</t>
  </si>
  <si>
    <t>勤労感謝の日</t>
  </si>
  <si>
    <t>大分類</t>
    <rPh sb="0" eb="3">
      <t>ダイブンルイ</t>
    </rPh>
    <phoneticPr fontId="1"/>
  </si>
  <si>
    <t>ステータス</t>
    <phoneticPr fontId="1"/>
  </si>
  <si>
    <t>未対応</t>
    <rPh sb="0" eb="3">
      <t>ミタイオウ</t>
    </rPh>
    <phoneticPr fontId="1"/>
  </si>
  <si>
    <t>対応中</t>
    <rPh sb="0" eb="3">
      <t>タイオウチュウ</t>
    </rPh>
    <phoneticPr fontId="1"/>
  </si>
  <si>
    <t>対応完了</t>
    <rPh sb="0" eb="4">
      <t>タイオウカンリョウ</t>
    </rPh>
    <phoneticPr fontId="1"/>
  </si>
  <si>
    <t>対応不要</t>
    <rPh sb="0" eb="4">
      <t>タイオウフヨウ</t>
    </rPh>
    <phoneticPr fontId="1"/>
  </si>
  <si>
    <t>A</t>
  </si>
  <si>
    <t>A</t>
    <phoneticPr fontId="1"/>
  </si>
  <si>
    <t>B</t>
    <phoneticPr fontId="1"/>
  </si>
  <si>
    <t>C</t>
    <phoneticPr fontId="1"/>
  </si>
  <si>
    <t>PJメンバ</t>
    <phoneticPr fontId="1"/>
  </si>
  <si>
    <t>名称</t>
  </si>
  <si>
    <t>日付</t>
  </si>
  <si>
    <t>No</t>
    <phoneticPr fontId="1"/>
  </si>
  <si>
    <t>工程</t>
    <rPh sb="0" eb="2">
      <t>コウテイ</t>
    </rPh>
    <phoneticPr fontId="1"/>
  </si>
  <si>
    <t>進捗率</t>
    <rPh sb="0" eb="3">
      <t>シンチョクリツ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</si>
  <si>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</si>
  <si>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</si>
  <si>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成果物</t>
    <rPh sb="0" eb="3">
      <t>セイカブツ</t>
    </rPh>
    <phoneticPr fontId="1"/>
  </si>
  <si>
    <t>所要日数</t>
    <rPh sb="0" eb="2">
      <t>ショヨウ</t>
    </rPh>
    <rPh sb="2" eb="4">
      <t>ニッスウ</t>
    </rPh>
    <phoneticPr fontId="1"/>
  </si>
  <si>
    <t>設計</t>
    <rPh sb="0" eb="2">
      <t>セッケイ</t>
    </rPh>
    <phoneticPr fontId="1"/>
  </si>
  <si>
    <t>製造</t>
    <rPh sb="0" eb="2">
      <t>セイゾウ</t>
    </rPh>
    <phoneticPr fontId="1"/>
  </si>
  <si>
    <t>テスト</t>
    <phoneticPr fontId="1"/>
  </si>
  <si>
    <t>成果物1</t>
    <rPh sb="0" eb="3">
      <t>セイカブツ</t>
    </rPh>
    <phoneticPr fontId="1"/>
  </si>
  <si>
    <t>中分類1</t>
    <rPh sb="0" eb="3">
      <t>チュウブンルイ</t>
    </rPh>
    <phoneticPr fontId="1"/>
  </si>
  <si>
    <t>小分類1</t>
    <rPh sb="0" eb="3">
      <t>ショウブンルイ</t>
    </rPh>
    <phoneticPr fontId="1"/>
  </si>
  <si>
    <t>要件定義</t>
    <rPh sb="0" eb="4">
      <t>ヨウケンテイギ</t>
    </rPh>
    <phoneticPr fontId="1"/>
  </si>
  <si>
    <t>機能1</t>
    <rPh sb="0" eb="2">
      <t>キノウ</t>
    </rPh>
    <phoneticPr fontId="1"/>
  </si>
  <si>
    <t>機能2</t>
    <rPh sb="0" eb="2">
      <t>キノウ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</si>
</sst>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9" formatCode="aaa"/>
  </numFmts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1"/>
      <color indexed="9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/>
      <top style="hair">
        <color auto="1"/>
      </top>
      <bottom style="thin">
        <color theme="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0" fillId="0" borderId="1" xfId="0" applyBorder="1"/>
    <xf numFmtId="0" fontId="3" fillId="0" borderId="1" xfId="0" applyFont="1" applyBorder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6" fillId="0" borderId="0" xfId="0" applyFont="1"/>
    <xf numFmtId="10" fontId="0" fillId="0" borderId="0" xfId="0" applyNumberFormat="1"/>
    <xf numFmtId="0" fontId="0" fillId="0" borderId="0" xfId="0" applyAlignment="1">
      <alignment horizontal="left"/>
    </xf>
    <xf numFmtId="10" fontId="3" fillId="0" borderId="0" xfId="0" applyNumberFormat="1" applyFont="1"/>
    <xf numFmtId="0" fontId="4" fillId="3" borderId="0" xfId="0" applyFont="1" applyFill="1"/>
    <xf numFmtId="9" fontId="0" fillId="0" borderId="0" xfId="1" applyFont="1" applyAlignment="1"/>
    <xf numFmtId="177" fontId="7" fillId="4" borderId="0" xfId="0" applyNumberFormat="1" applyFont="1" applyFill="1"/>
    <xf numFmtId="176" fontId="7" fillId="4" borderId="0" xfId="0" applyNumberFormat="1" applyFont="1" applyFill="1"/>
    <xf numFmtId="179" fontId="7" fillId="4" borderId="0" xfId="0" applyNumberFormat="1" applyFont="1" applyFill="1"/>
    <xf numFmtId="176" fontId="0" fillId="2" borderId="0" xfId="0" applyNumberForma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0" fillId="0" borderId="8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2">
    <cellStyle name="パーセント" xfId="1" builtinId="5"/>
    <cellStyle name="標準" xfId="0" builtinId="0"/>
  </cellStyles>
  <dxfs count="40">
    <dxf>
      <font>
        <b/>
        <i val="0"/>
        <color rgb="FFFFFFFF"/>
      </font>
      <fill>
        <patternFill>
          <bgColor rgb="FF0000FF"/>
        </patternFill>
      </fill>
    </dxf>
    <dxf>
      <font>
        <b/>
        <i val="0"/>
        <u/>
      </font>
    </dxf>
    <dxf>
      <font>
        <color indexed="10"/>
      </font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ont>
        <b/>
        <i val="0"/>
        <color rgb="FFFFFFFF"/>
      </font>
      <fill>
        <patternFill>
          <bgColor rgb="FF0000FF"/>
        </patternFill>
      </fill>
    </dxf>
    <dxf>
      <font>
        <b/>
        <i val="0"/>
        <u/>
      </font>
    </dxf>
    <dxf>
      <font>
        <color indexed="10"/>
      </font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numFmt numFmtId="0" formatCode="General"/>
    </dxf>
    <dxf>
      <numFmt numFmtId="180" formatCode="m/d/yyyy"/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numFmt numFmtId="14" formatCode="0.00%"/>
    </dxf>
    <dxf>
      <numFmt numFmtId="180" formatCode="m/d/yyyy"/>
    </dxf>
    <dxf>
      <numFmt numFmtId="180" formatCode="m/d/yyyy"/>
    </dxf>
    <dxf>
      <numFmt numFmtId="0" formatCode="General"/>
    </dxf>
    <dxf>
      <numFmt numFmtId="180" formatCode="m/d/yyyy"/>
    </dxf>
    <dxf>
      <font>
        <strike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108347</xdr:colOff>
          <xdr:row>1</xdr:row>
          <xdr:rowOff>197644</xdr:rowOff>
        </xdr:from>
        <xdr:to>
          <xdr:col>2</xdr:col>
          <xdr:colOff>30956</xdr:colOff>
          <xdr:row>3</xdr:row>
          <xdr:rowOff>19051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書式更新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108347</xdr:colOff>
          <xdr:row>0</xdr:row>
          <xdr:rowOff>116086</xdr:rowOff>
        </xdr:from>
        <xdr:to>
          <xdr:col>2</xdr:col>
          <xdr:colOff>32147</xdr:colOff>
          <xdr:row>1</xdr:row>
          <xdr:rowOff>163711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WBS初期化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1273968</xdr:colOff>
          <xdr:row>0</xdr:row>
          <xdr:rowOff>116087</xdr:rowOff>
        </xdr:from>
        <xdr:to>
          <xdr:col>3</xdr:col>
          <xdr:colOff>845343</xdr:colOff>
          <xdr:row>1</xdr:row>
          <xdr:rowOff>163711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当日線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153590</xdr:colOff>
          <xdr:row>0</xdr:row>
          <xdr:rowOff>120849</xdr:rowOff>
        </xdr:from>
        <xdr:to>
          <xdr:col>2</xdr:col>
          <xdr:colOff>1153715</xdr:colOff>
          <xdr:row>1</xdr:row>
          <xdr:rowOff>158948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153590</xdr:colOff>
          <xdr:row>1</xdr:row>
          <xdr:rowOff>202407</xdr:rowOff>
        </xdr:from>
        <xdr:to>
          <xdr:col>2</xdr:col>
          <xdr:colOff>1144190</xdr:colOff>
          <xdr:row>3</xdr:row>
          <xdr:rowOff>14288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965597</xdr:colOff>
          <xdr:row>0</xdr:row>
          <xdr:rowOff>116086</xdr:rowOff>
        </xdr:from>
        <xdr:to>
          <xdr:col>4</xdr:col>
          <xdr:colOff>536972</xdr:colOff>
          <xdr:row>1</xdr:row>
          <xdr:rowOff>163711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実績線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1273968</xdr:colOff>
          <xdr:row>1</xdr:row>
          <xdr:rowOff>197644</xdr:rowOff>
        </xdr:from>
        <xdr:to>
          <xdr:col>3</xdr:col>
          <xdr:colOff>845343</xdr:colOff>
          <xdr:row>3</xdr:row>
          <xdr:rowOff>19051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稲妻線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6</xdr:row>
      <xdr:rowOff>0</xdr:rowOff>
    </xdr:from>
    <xdr:to>
      <xdr:col>36</xdr:col>
      <xdr:colOff>0</xdr:colOff>
      <xdr:row>6</xdr:row>
      <xdr:rowOff>96838</xdr:rowOff>
    </xdr:to>
    <xdr:sp macro="" textlink="">
      <xdr:nvSpPr>
        <xdr:cNvPr id="8" name="実績線">
          <a:extLst>
            <a:ext uri="{FF2B5EF4-FFF2-40B4-BE49-F238E27FC236}">
              <a16:creationId xmlns:a16="http://schemas.microsoft.com/office/drawing/2014/main" id="{B153710D-BC0D-958E-19CB-93F4AEED3EBA}"/>
            </a:ext>
          </a:extLst>
        </xdr:cNvPr>
        <xdr:cNvSpPr/>
      </xdr:nvSpPr>
      <xdr:spPr>
        <a:xfrm>
          <a:off x="17668875" y="1343025"/>
          <a:ext cx="276225" cy="9683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138113</xdr:colOff>
      <xdr:row>8</xdr:row>
      <xdr:rowOff>96838</xdr:rowOff>
    </xdr:to>
    <xdr:sp macro="" textlink="">
      <xdr:nvSpPr>
        <xdr:cNvPr id="9" name="実績線">
          <a:extLst>
            <a:ext uri="{FF2B5EF4-FFF2-40B4-BE49-F238E27FC236}">
              <a16:creationId xmlns:a16="http://schemas.microsoft.com/office/drawing/2014/main" id="{3B664704-A663-F3C3-9FB4-0456519354DB}"/>
            </a:ext>
          </a:extLst>
        </xdr:cNvPr>
        <xdr:cNvSpPr/>
      </xdr:nvSpPr>
      <xdr:spPr>
        <a:xfrm>
          <a:off x="17668875" y="1790700"/>
          <a:ext cx="138113" cy="9683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35</xdr:col>
      <xdr:colOff>152400</xdr:colOff>
      <xdr:row>4</xdr:row>
      <xdr:rowOff>0</xdr:rowOff>
    </xdr:from>
    <xdr:to>
      <xdr:col>35</xdr:col>
      <xdr:colOff>152400</xdr:colOff>
      <xdr:row>27</xdr:row>
      <xdr:rowOff>0</xdr:rowOff>
    </xdr:to>
    <xdr:cxnSp macro="">
      <xdr:nvCxnSpPr>
        <xdr:cNvPr id="11" name="当日線">
          <a:extLst>
            <a:ext uri="{FF2B5EF4-FFF2-40B4-BE49-F238E27FC236}">
              <a16:creationId xmlns:a16="http://schemas.microsoft.com/office/drawing/2014/main" id="{A6525AE1-F626-C9F2-9689-8FA43F99024F}"/>
            </a:ext>
          </a:extLst>
        </xdr:cNvPr>
        <xdr:cNvCxnSpPr/>
      </xdr:nvCxnSpPr>
      <xdr:spPr>
        <a:xfrm>
          <a:off x="17821275" y="895350"/>
          <a:ext cx="0" cy="5148263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713772-51B4-43FC-A057-4CB9E6F393F0}" autoFormatId="20" applyNumberFormats="0" applyBorderFormats="0" applyFontFormats="0" applyPatternFormats="0" applyAlignmentFormats="0" applyWidthHeightFormats="0">
  <queryTableRefresh nextId="3">
    <queryTableFields count="2">
      <queryTableField id="1" name="名称" tableColumnId="1"/>
      <queryTableField id="2" name="日付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771B-A3BB-4016-95E1-9210A102967A}" name="WBS" displayName="WBS" ref="A4:M27" totalsRowShown="0" headerRowDxfId="39">
  <autoFilter ref="A4:M27" xr:uid="{DC74771B-A3BB-4016-95E1-9210A102967A}"/>
  <tableColumns count="13">
    <tableColumn id="1" xr3:uid="{CA93C521-A3E6-47D8-9B85-2328CA0BF6CC}" name="No" dataDxfId="23">
      <calculatedColumnFormula>ROW()-ROW($A$4)</calculatedColumnFormula>
    </tableColumn>
    <tableColumn id="2" xr3:uid="{893DB578-BFCA-49D7-A4D5-93CB8BDA192B}" name="工程"/>
    <tableColumn id="11" xr3:uid="{D3727534-D6FD-44CD-9EC9-62494C62A210}" name="大分類"/>
    <tableColumn id="10" xr3:uid="{8717431B-5342-4BF2-9595-D385DA5523C3}" name="中分類"/>
    <tableColumn id="3" xr3:uid="{F4D71E99-7370-471B-9CB7-2E1220807090}" name="小分類"/>
    <tableColumn id="13" xr3:uid="{F7CFBA05-0603-4106-9D98-7664F10D2189}" name="成果物"/>
    <tableColumn id="4" xr3:uid="{7F03DEF8-14B8-495C-B24B-2207B6296798}" name="担当者"/>
    <tableColumn id="6" xr3:uid="{BA266868-1E80-4189-9950-13981BAEF60A}" name="開始日" dataDxfId="38"/>
    <tableColumn id="14" xr3:uid="{7B669A75-5E61-45CD-A547-E49CC1053081}" name="所要日数" dataDxfId="37"/>
    <tableColumn id="7" xr3:uid="{544F1420-E4D4-428F-93A5-AE962FA7EAE3}" name="終了日" dataDxfId="36">
      <calculatedColumnFormula>WORKDAY(WBS[[#This Row],[開始日]],WBS[[#This Row],[所要日数]]-1,_祝日[日付])</calculatedColumnFormula>
    </tableColumn>
    <tableColumn id="5" xr3:uid="{D6CEB564-77AF-407C-AD4C-4D0728123D7F}" name="ステータス" dataDxfId="35"/>
    <tableColumn id="15" xr3:uid="{683CF3BF-33E0-4A0D-9172-7514CE45124C}" name="進捗率" dataCellStyle="パーセント"/>
    <tableColumn id="9" xr3:uid="{CE773E09-820F-4355-8CFB-D4E1F3A7A628}" name="備考" dataDxfId="3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05A927-5E26-4D5D-88C9-0FCD56297B6C}" name="_PJメンバ" displayName="_PJメンバ" ref="B1:B4" totalsRowShown="0" headerRowDxfId="33" headerRowBorderDxfId="32" tableBorderDxfId="31" totalsRowBorderDxfId="30">
  <autoFilter ref="B1:B4" xr:uid="{E905A927-5E26-4D5D-88C9-0FCD56297B6C}"/>
  <tableColumns count="1">
    <tableColumn id="1" xr3:uid="{F9D791EA-2DEA-41E4-A680-5AD02064373A}" name="PJメンバ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72DDEE-BD82-4E43-82D4-8CA1659615CB}" name="_ステータス" displayName="_ステータス" ref="A1:A6" totalsRowShown="0" headerRowDxfId="29" headerRowBorderDxfId="28" tableBorderDxfId="27" totalsRowBorderDxfId="26">
  <autoFilter ref="A1:A6" xr:uid="{3472DDEE-BD82-4E43-82D4-8CA1659615CB}"/>
  <tableColumns count="1">
    <tableColumn id="1" xr3:uid="{78B2BD30-4B06-4E47-98AF-174F27801949}" name="ステータス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21AEB-CCDB-4263-BF82-01B109D0B995}" name="_祝日" displayName="_祝日" ref="A1:B22" tableType="queryTable" totalsRowShown="0">
  <autoFilter ref="A1:B22" xr:uid="{04921AEB-CCDB-4263-BF82-01B109D0B995}"/>
  <tableColumns count="2">
    <tableColumn id="1" xr3:uid="{4C5C2E0E-7CBC-4A11-8EF0-57C417F6636C}" uniqueName="1" name="名称" queryTableFieldId="1" dataDxfId="25"/>
    <tableColumn id="2" xr3:uid="{88643D9E-1AE2-4F84-A038-CF6A2B4EF7A0}" uniqueName="2" name="日付" queryTableFieldId="2" dataDxfId="24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28"/>
  <sheetViews>
    <sheetView tabSelected="1" zoomScale="80" zoomScaleNormal="80" workbookViewId="0">
      <pane xSplit="13" ySplit="4" topLeftCell="N5" activePane="bottomRight" state="frozen"/>
      <selection pane="topRight" activeCell="N1" sqref="N1"/>
      <selection pane="bottomLeft" activeCell="A13" sqref="A13"/>
      <selection pane="bottomRight" activeCell="N5" sqref="N5"/>
    </sheetView>
  </sheetViews>
  <sheetFormatPr defaultColWidth="3.625" defaultRowHeight="17.649999999999999" outlineLevelCol="1"/>
  <cols>
    <col min="1" max="1" width="6.5" bestFit="1" customWidth="1"/>
    <col min="2" max="2" width="7.625" bestFit="1" customWidth="1"/>
    <col min="3" max="5" width="18.75" customWidth="1"/>
    <col min="6" max="6" width="9.375" bestFit="1" customWidth="1"/>
    <col min="7" max="7" width="9.375" customWidth="1" outlineLevel="1"/>
    <col min="8" max="8" width="10.75" customWidth="1" outlineLevel="1"/>
    <col min="9" max="9" width="11.25" customWidth="1" outlineLevel="1"/>
    <col min="10" max="10" width="10.75" customWidth="1" outlineLevel="1"/>
    <col min="11" max="11" width="13.25" customWidth="1" outlineLevel="1"/>
    <col min="12" max="12" width="9.375" customWidth="1" outlineLevel="1"/>
    <col min="13" max="13" width="7.625" customWidth="1" outlineLevel="1"/>
    <col min="14" max="44" width="3.625" style="1" customWidth="1"/>
    <col min="45" max="45" width="3.75" style="1" customWidth="1"/>
    <col min="46" max="16384" width="3.625" style="1"/>
  </cols>
  <sheetData>
    <row r="1" spans="1:379" s="6" customFormat="1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2">
        <v>45627</v>
      </c>
      <c r="O1" s="12">
        <v>45628</v>
      </c>
      <c r="P1" s="12">
        <v>45629</v>
      </c>
      <c r="Q1" s="12">
        <v>45630</v>
      </c>
      <c r="R1" s="12">
        <v>45631</v>
      </c>
      <c r="S1" s="12">
        <v>45632</v>
      </c>
      <c r="T1" s="12">
        <v>45633</v>
      </c>
      <c r="U1" s="12">
        <v>45634</v>
      </c>
      <c r="V1" s="12">
        <v>45635</v>
      </c>
      <c r="W1" s="12">
        <v>45636</v>
      </c>
      <c r="X1" s="12">
        <v>45637</v>
      </c>
      <c r="Y1" s="12">
        <v>45638</v>
      </c>
      <c r="Z1" s="12">
        <v>45639</v>
      </c>
      <c r="AA1" s="12">
        <v>45640</v>
      </c>
      <c r="AB1" s="12">
        <v>45641</v>
      </c>
      <c r="AC1" s="12">
        <v>45642</v>
      </c>
      <c r="AD1" s="12">
        <v>45643</v>
      </c>
      <c r="AE1" s="12">
        <v>45644</v>
      </c>
      <c r="AF1" s="12">
        <v>45645</v>
      </c>
      <c r="AG1" s="12">
        <v>45646</v>
      </c>
      <c r="AH1" s="12">
        <v>45647</v>
      </c>
      <c r="AI1" s="12">
        <v>45648</v>
      </c>
      <c r="AJ1" s="12">
        <v>45649</v>
      </c>
      <c r="AK1" s="12">
        <v>45650</v>
      </c>
      <c r="AL1" s="12">
        <v>45651</v>
      </c>
      <c r="AM1" s="12">
        <v>45652</v>
      </c>
      <c r="AN1" s="12">
        <v>45653</v>
      </c>
      <c r="AO1" s="12">
        <v>45654</v>
      </c>
      <c r="AP1" s="12">
        <v>45655</v>
      </c>
      <c r="AQ1" s="12">
        <v>45656</v>
      </c>
      <c r="AR1" s="12">
        <v>45657</v>
      </c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</row>
    <row r="2" spans="1:379" s="6" customForma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3">
        <v>45627</v>
      </c>
      <c r="O2" s="13">
        <v>45628</v>
      </c>
      <c r="P2" s="13">
        <v>45629</v>
      </c>
      <c r="Q2" s="13">
        <v>45630</v>
      </c>
      <c r="R2" s="13">
        <v>45631</v>
      </c>
      <c r="S2" s="13">
        <v>45632</v>
      </c>
      <c r="T2" s="13">
        <v>45633</v>
      </c>
      <c r="U2" s="13">
        <v>45634</v>
      </c>
      <c r="V2" s="13">
        <v>45635</v>
      </c>
      <c r="W2" s="13">
        <v>45636</v>
      </c>
      <c r="X2" s="13">
        <v>45637</v>
      </c>
      <c r="Y2" s="13">
        <v>45638</v>
      </c>
      <c r="Z2" s="13">
        <v>45639</v>
      </c>
      <c r="AA2" s="13">
        <v>45640</v>
      </c>
      <c r="AB2" s="13">
        <v>45641</v>
      </c>
      <c r="AC2" s="13">
        <v>45642</v>
      </c>
      <c r="AD2" s="13">
        <v>45643</v>
      </c>
      <c r="AE2" s="13">
        <v>45644</v>
      </c>
      <c r="AF2" s="13">
        <v>45645</v>
      </c>
      <c r="AG2" s="13">
        <v>45646</v>
      </c>
      <c r="AH2" s="13">
        <v>45647</v>
      </c>
      <c r="AI2" s="13">
        <v>45648</v>
      </c>
      <c r="AJ2" s="13">
        <v>45649</v>
      </c>
      <c r="AK2" s="13">
        <v>45650</v>
      </c>
      <c r="AL2" s="13">
        <v>45651</v>
      </c>
      <c r="AM2" s="13">
        <v>45652</v>
      </c>
      <c r="AN2" s="13">
        <v>45653</v>
      </c>
      <c r="AO2" s="13">
        <v>45654</v>
      </c>
      <c r="AP2" s="13">
        <v>45655</v>
      </c>
      <c r="AQ2" s="13">
        <v>45656</v>
      </c>
      <c r="AR2" s="13">
        <v>45657</v>
      </c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</row>
    <row r="3" spans="1:379" s="6" customForma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4">
        <v>45627</v>
      </c>
      <c r="O3" s="14">
        <v>45628</v>
      </c>
      <c r="P3" s="14">
        <v>45629</v>
      </c>
      <c r="Q3" s="14">
        <v>45630</v>
      </c>
      <c r="R3" s="14">
        <v>45631</v>
      </c>
      <c r="S3" s="14">
        <v>45632</v>
      </c>
      <c r="T3" s="14">
        <v>45633</v>
      </c>
      <c r="U3" s="14">
        <v>45634</v>
      </c>
      <c r="V3" s="14">
        <v>45635</v>
      </c>
      <c r="W3" s="14">
        <v>45636</v>
      </c>
      <c r="X3" s="14">
        <v>45637</v>
      </c>
      <c r="Y3" s="14">
        <v>45638</v>
      </c>
      <c r="Z3" s="14">
        <v>45639</v>
      </c>
      <c r="AA3" s="14">
        <v>45640</v>
      </c>
      <c r="AB3" s="14">
        <v>45641</v>
      </c>
      <c r="AC3" s="14">
        <v>45642</v>
      </c>
      <c r="AD3" s="14">
        <v>45643</v>
      </c>
      <c r="AE3" s="14">
        <v>45644</v>
      </c>
      <c r="AF3" s="14">
        <v>45645</v>
      </c>
      <c r="AG3" s="14">
        <v>45646</v>
      </c>
      <c r="AH3" s="14">
        <v>45647</v>
      </c>
      <c r="AI3" s="14">
        <v>45648</v>
      </c>
      <c r="AJ3" s="14">
        <v>45649</v>
      </c>
      <c r="AK3" s="14">
        <v>45650</v>
      </c>
      <c r="AL3" s="14">
        <v>45651</v>
      </c>
      <c r="AM3" s="14">
        <v>45652</v>
      </c>
      <c r="AN3" s="14">
        <v>45653</v>
      </c>
      <c r="AO3" s="14">
        <v>45654</v>
      </c>
      <c r="AP3" s="14">
        <v>45655</v>
      </c>
      <c r="AQ3" s="14">
        <v>45656</v>
      </c>
      <c r="AR3" s="14">
        <v>45657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</row>
    <row r="4" spans="1:379" customFormat="1">
      <c r="A4" s="4" t="s">
        <v>35</v>
      </c>
      <c r="B4" s="4" t="s">
        <v>36</v>
      </c>
      <c r="C4" s="4" t="s">
        <v>22</v>
      </c>
      <c r="D4" s="4" t="s">
        <v>38</v>
      </c>
      <c r="E4" s="4" t="s">
        <v>39</v>
      </c>
      <c r="F4" s="4" t="s">
        <v>40</v>
      </c>
      <c r="G4" s="4" t="s">
        <v>0</v>
      </c>
      <c r="H4" s="5" t="s">
        <v>1</v>
      </c>
      <c r="I4" s="5" t="s">
        <v>41</v>
      </c>
      <c r="J4" s="5" t="s">
        <v>2</v>
      </c>
      <c r="K4" s="4" t="s">
        <v>23</v>
      </c>
      <c r="L4" s="4" t="s">
        <v>37</v>
      </c>
      <c r="M4" s="4" t="s">
        <v>3</v>
      </c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</row>
    <row r="5" spans="1:379" customFormat="1">
      <c r="A5">
        <f t="shared" ref="A5:A27" si="0">ROW()-ROW($A$4)</f>
        <v>1</v>
      </c>
      <c r="B5" t="s">
        <v>48</v>
      </c>
      <c r="H5" s="3"/>
      <c r="J5" s="3"/>
      <c r="K5" t="s">
        <v>25</v>
      </c>
      <c r="L5" s="11"/>
      <c r="M5" s="7"/>
      <c r="N5" s="17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23"/>
      <c r="AS5" s="17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23"/>
    </row>
    <row r="6" spans="1:379">
      <c r="A6">
        <f t="shared" si="0"/>
        <v>2</v>
      </c>
      <c r="B6" s="8"/>
      <c r="C6" t="s">
        <v>49</v>
      </c>
      <c r="H6" s="3"/>
      <c r="J6" s="3"/>
      <c r="K6" t="s">
        <v>25</v>
      </c>
      <c r="L6" s="11"/>
      <c r="M6" s="7"/>
      <c r="N6" s="19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4"/>
      <c r="AS6" s="19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  <c r="KK6" s="20"/>
      <c r="KL6" s="20"/>
      <c r="KM6" s="20"/>
      <c r="KN6" s="20"/>
      <c r="KO6" s="20"/>
      <c r="KP6" s="20"/>
      <c r="KQ6" s="20"/>
      <c r="KR6" s="20"/>
      <c r="KS6" s="20"/>
      <c r="KT6" s="20"/>
      <c r="KU6" s="20"/>
      <c r="KV6" s="20"/>
      <c r="KW6" s="20"/>
      <c r="KX6" s="20"/>
      <c r="KY6" s="20"/>
      <c r="KZ6" s="20"/>
      <c r="LA6" s="20"/>
      <c r="LB6" s="20"/>
      <c r="LC6" s="20"/>
      <c r="LD6" s="20"/>
      <c r="LE6" s="20"/>
      <c r="LF6" s="20"/>
      <c r="LG6" s="20"/>
      <c r="LH6" s="20"/>
      <c r="LI6" s="20"/>
      <c r="LJ6" s="20"/>
      <c r="LK6" s="20"/>
      <c r="LL6" s="20"/>
      <c r="LM6" s="20"/>
      <c r="LN6" s="20"/>
      <c r="LO6" s="20"/>
      <c r="LP6" s="20"/>
      <c r="LQ6" s="20"/>
      <c r="LR6" s="20"/>
      <c r="LS6" s="20"/>
      <c r="LT6" s="20"/>
      <c r="LU6" s="20"/>
      <c r="LV6" s="20"/>
      <c r="LW6" s="20"/>
      <c r="LX6" s="20"/>
      <c r="LY6" s="20"/>
      <c r="LZ6" s="20"/>
      <c r="MA6" s="20"/>
      <c r="MB6" s="20"/>
      <c r="MC6" s="20"/>
      <c r="MD6" s="20"/>
      <c r="ME6" s="20"/>
      <c r="MF6" s="20"/>
      <c r="MG6" s="20"/>
      <c r="MH6" s="20"/>
      <c r="MI6" s="20"/>
      <c r="MJ6" s="20"/>
      <c r="MK6" s="20"/>
      <c r="ML6" s="20"/>
      <c r="MM6" s="20"/>
      <c r="MN6" s="20"/>
      <c r="MO6" s="20"/>
      <c r="MP6" s="20"/>
      <c r="MQ6" s="20"/>
      <c r="MR6" s="20"/>
      <c r="MS6" s="20"/>
      <c r="MT6" s="20"/>
      <c r="MU6" s="20"/>
      <c r="MV6" s="20"/>
      <c r="MW6" s="20"/>
      <c r="MX6" s="20"/>
      <c r="MY6" s="20"/>
      <c r="MZ6" s="20"/>
      <c r="NA6" s="20"/>
      <c r="NB6" s="20"/>
      <c r="NC6" s="20"/>
      <c r="ND6" s="20"/>
      <c r="NE6" s="20"/>
      <c r="NF6" s="20"/>
      <c r="NG6" s="20"/>
      <c r="NH6" s="20"/>
      <c r="NI6" s="20"/>
      <c r="NJ6" s="20"/>
      <c r="NK6" s="20"/>
      <c r="NL6" s="20"/>
      <c r="NM6" s="20"/>
      <c r="NN6" s="20"/>
      <c r="NO6" s="24"/>
    </row>
    <row r="7" spans="1:379">
      <c r="A7">
        <f>ROW()-ROW($A$4)</f>
        <v>3</v>
      </c>
      <c r="B7" s="8"/>
      <c r="D7" t="s">
        <v>46</v>
      </c>
      <c r="E7" t="s">
        <v>47</v>
      </c>
      <c r="F7" t="s">
        <v>45</v>
      </c>
      <c r="G7" t="s">
        <v>28</v>
      </c>
      <c r="H7" s="3">
        <v>45649</v>
      </c>
      <c r="I7">
        <v>2</v>
      </c>
      <c r="J7" s="3">
        <f>WORKDAY(WBS[[#This Row],[開始日]],WBS[[#This Row],[所要日数]]-1,_祝日[日付])</f>
        <v>45650</v>
      </c>
      <c r="K7" t="s">
        <v>25</v>
      </c>
      <c r="L7" s="11">
        <v>0.5</v>
      </c>
      <c r="M7" s="7"/>
      <c r="N7" s="19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4"/>
      <c r="AS7" s="19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/>
      <c r="IS7" s="20"/>
      <c r="IT7" s="20"/>
      <c r="IU7" s="20"/>
      <c r="IV7" s="20"/>
      <c r="IW7" s="20"/>
      <c r="IX7" s="20"/>
      <c r="IY7" s="20"/>
      <c r="IZ7" s="20"/>
      <c r="JA7" s="20"/>
      <c r="JB7" s="20"/>
      <c r="JC7" s="20"/>
      <c r="JD7" s="20"/>
      <c r="JE7" s="20"/>
      <c r="JF7" s="20"/>
      <c r="JG7" s="20"/>
      <c r="JH7" s="20"/>
      <c r="JI7" s="20"/>
      <c r="JJ7" s="20"/>
      <c r="JK7" s="20"/>
      <c r="JL7" s="20"/>
      <c r="JM7" s="20"/>
      <c r="JN7" s="20"/>
      <c r="JO7" s="20"/>
      <c r="JP7" s="20"/>
      <c r="JQ7" s="20"/>
      <c r="JR7" s="20"/>
      <c r="JS7" s="20"/>
      <c r="JT7" s="20"/>
      <c r="JU7" s="20"/>
      <c r="JV7" s="20"/>
      <c r="JW7" s="20"/>
      <c r="JX7" s="20"/>
      <c r="JY7" s="20"/>
      <c r="JZ7" s="20"/>
      <c r="KA7" s="20"/>
      <c r="KB7" s="20"/>
      <c r="KC7" s="20"/>
      <c r="KD7" s="20"/>
      <c r="KE7" s="20"/>
      <c r="KF7" s="20"/>
      <c r="KG7" s="20"/>
      <c r="KH7" s="20"/>
      <c r="KI7" s="20"/>
      <c r="KJ7" s="20"/>
      <c r="KK7" s="20"/>
      <c r="KL7" s="20"/>
      <c r="KM7" s="20"/>
      <c r="KN7" s="20"/>
      <c r="KO7" s="20"/>
      <c r="KP7" s="20"/>
      <c r="KQ7" s="20"/>
      <c r="KR7" s="20"/>
      <c r="KS7" s="20"/>
      <c r="KT7" s="20"/>
      <c r="KU7" s="20"/>
      <c r="KV7" s="20"/>
      <c r="KW7" s="20"/>
      <c r="KX7" s="20"/>
      <c r="KY7" s="20"/>
      <c r="KZ7" s="20"/>
      <c r="LA7" s="20"/>
      <c r="LB7" s="20"/>
      <c r="LC7" s="20"/>
      <c r="LD7" s="20"/>
      <c r="LE7" s="20"/>
      <c r="LF7" s="20"/>
      <c r="LG7" s="20"/>
      <c r="LH7" s="20"/>
      <c r="LI7" s="20"/>
      <c r="LJ7" s="20"/>
      <c r="LK7" s="20"/>
      <c r="LL7" s="20"/>
      <c r="LM7" s="20"/>
      <c r="LN7" s="20"/>
      <c r="LO7" s="20"/>
      <c r="LP7" s="20"/>
      <c r="LQ7" s="20"/>
      <c r="LR7" s="20"/>
      <c r="LS7" s="20"/>
      <c r="LT7" s="20"/>
      <c r="LU7" s="20"/>
      <c r="LV7" s="20"/>
      <c r="LW7" s="20"/>
      <c r="LX7" s="20"/>
      <c r="LY7" s="20"/>
      <c r="LZ7" s="20"/>
      <c r="MA7" s="20"/>
      <c r="MB7" s="20"/>
      <c r="MC7" s="20"/>
      <c r="MD7" s="20"/>
      <c r="ME7" s="20"/>
      <c r="MF7" s="20"/>
      <c r="MG7" s="20"/>
      <c r="MH7" s="20"/>
      <c r="MI7" s="20"/>
      <c r="MJ7" s="20"/>
      <c r="MK7" s="20"/>
      <c r="ML7" s="20"/>
      <c r="MM7" s="20"/>
      <c r="MN7" s="20"/>
      <c r="MO7" s="20"/>
      <c r="MP7" s="20"/>
      <c r="MQ7" s="20"/>
      <c r="MR7" s="20"/>
      <c r="MS7" s="20"/>
      <c r="MT7" s="20"/>
      <c r="MU7" s="20"/>
      <c r="MV7" s="20"/>
      <c r="MW7" s="20"/>
      <c r="MX7" s="20"/>
      <c r="MY7" s="20"/>
      <c r="MZ7" s="20"/>
      <c r="NA7" s="20"/>
      <c r="NB7" s="20"/>
      <c r="NC7" s="20"/>
      <c r="ND7" s="20"/>
      <c r="NE7" s="20"/>
      <c r="NF7" s="20"/>
      <c r="NG7" s="20"/>
      <c r="NH7" s="20"/>
      <c r="NI7" s="20"/>
      <c r="NJ7" s="20"/>
      <c r="NK7" s="20"/>
      <c r="NL7" s="20"/>
      <c r="NM7" s="20"/>
      <c r="NN7" s="20"/>
      <c r="NO7" s="24"/>
    </row>
    <row r="8" spans="1:379">
      <c r="A8">
        <f>ROW()-ROW($A$4)</f>
        <v>4</v>
      </c>
      <c r="B8" s="8"/>
      <c r="C8" t="s">
        <v>50</v>
      </c>
      <c r="H8" s="3"/>
      <c r="J8" s="3"/>
      <c r="K8" t="s">
        <v>25</v>
      </c>
      <c r="L8" s="11"/>
      <c r="M8" s="7"/>
      <c r="N8" s="19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4"/>
      <c r="AS8" s="19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  <c r="IW8" s="20"/>
      <c r="IX8" s="20"/>
      <c r="IY8" s="20"/>
      <c r="IZ8" s="20"/>
      <c r="JA8" s="20"/>
      <c r="JB8" s="20"/>
      <c r="JC8" s="20"/>
      <c r="JD8" s="20"/>
      <c r="JE8" s="20"/>
      <c r="JF8" s="20"/>
      <c r="JG8" s="20"/>
      <c r="JH8" s="20"/>
      <c r="JI8" s="20"/>
      <c r="JJ8" s="20"/>
      <c r="JK8" s="20"/>
      <c r="JL8" s="20"/>
      <c r="JM8" s="20"/>
      <c r="JN8" s="20"/>
      <c r="JO8" s="20"/>
      <c r="JP8" s="20"/>
      <c r="JQ8" s="20"/>
      <c r="JR8" s="20"/>
      <c r="JS8" s="20"/>
      <c r="JT8" s="20"/>
      <c r="JU8" s="20"/>
      <c r="JV8" s="20"/>
      <c r="JW8" s="20"/>
      <c r="JX8" s="20"/>
      <c r="JY8" s="20"/>
      <c r="JZ8" s="20"/>
      <c r="KA8" s="20"/>
      <c r="KB8" s="20"/>
      <c r="KC8" s="20"/>
      <c r="KD8" s="20"/>
      <c r="KE8" s="20"/>
      <c r="KF8" s="20"/>
      <c r="KG8" s="20"/>
      <c r="KH8" s="20"/>
      <c r="KI8" s="20"/>
      <c r="KJ8" s="20"/>
      <c r="KK8" s="20"/>
      <c r="KL8" s="20"/>
      <c r="KM8" s="20"/>
      <c r="KN8" s="20"/>
      <c r="KO8" s="20"/>
      <c r="KP8" s="20"/>
      <c r="KQ8" s="20"/>
      <c r="KR8" s="20"/>
      <c r="KS8" s="20"/>
      <c r="KT8" s="20"/>
      <c r="KU8" s="20"/>
      <c r="KV8" s="20"/>
      <c r="KW8" s="20"/>
      <c r="KX8" s="20"/>
      <c r="KY8" s="20"/>
      <c r="KZ8" s="20"/>
      <c r="LA8" s="20"/>
      <c r="LB8" s="20"/>
      <c r="LC8" s="20"/>
      <c r="LD8" s="20"/>
      <c r="LE8" s="20"/>
      <c r="LF8" s="20"/>
      <c r="LG8" s="20"/>
      <c r="LH8" s="20"/>
      <c r="LI8" s="20"/>
      <c r="LJ8" s="20"/>
      <c r="LK8" s="20"/>
      <c r="LL8" s="20"/>
      <c r="LM8" s="20"/>
      <c r="LN8" s="20"/>
      <c r="LO8" s="20"/>
      <c r="LP8" s="20"/>
      <c r="LQ8" s="20"/>
      <c r="LR8" s="20"/>
      <c r="LS8" s="20"/>
      <c r="LT8" s="20"/>
      <c r="LU8" s="20"/>
      <c r="LV8" s="20"/>
      <c r="LW8" s="20"/>
      <c r="LX8" s="20"/>
      <c r="LY8" s="20"/>
      <c r="LZ8" s="20"/>
      <c r="MA8" s="20"/>
      <c r="MB8" s="20"/>
      <c r="MC8" s="20"/>
      <c r="MD8" s="20"/>
      <c r="ME8" s="20"/>
      <c r="MF8" s="20"/>
      <c r="MG8" s="20"/>
      <c r="MH8" s="20"/>
      <c r="MI8" s="20"/>
      <c r="MJ8" s="20"/>
      <c r="MK8" s="20"/>
      <c r="ML8" s="20"/>
      <c r="MM8" s="20"/>
      <c r="MN8" s="20"/>
      <c r="MO8" s="20"/>
      <c r="MP8" s="20"/>
      <c r="MQ8" s="20"/>
      <c r="MR8" s="20"/>
      <c r="MS8" s="20"/>
      <c r="MT8" s="20"/>
      <c r="MU8" s="20"/>
      <c r="MV8" s="20"/>
      <c r="MW8" s="20"/>
      <c r="MX8" s="20"/>
      <c r="MY8" s="20"/>
      <c r="MZ8" s="20"/>
      <c r="NA8" s="20"/>
      <c r="NB8" s="20"/>
      <c r="NC8" s="20"/>
      <c r="ND8" s="20"/>
      <c r="NE8" s="20"/>
      <c r="NF8" s="20"/>
      <c r="NG8" s="20"/>
      <c r="NH8" s="20"/>
      <c r="NI8" s="20"/>
      <c r="NJ8" s="20"/>
      <c r="NK8" s="20"/>
      <c r="NL8" s="20"/>
      <c r="NM8" s="20"/>
      <c r="NN8" s="20"/>
      <c r="NO8" s="24"/>
    </row>
    <row r="9" spans="1:379" s="2" customFormat="1">
      <c r="A9">
        <f>ROW()-ROW($A$4)</f>
        <v>5</v>
      </c>
      <c r="B9" s="8"/>
      <c r="C9"/>
      <c r="D9" t="s">
        <v>46</v>
      </c>
      <c r="E9" t="s">
        <v>47</v>
      </c>
      <c r="F9" t="s">
        <v>45</v>
      </c>
      <c r="G9" t="s">
        <v>28</v>
      </c>
      <c r="H9" s="3">
        <v>45649</v>
      </c>
      <c r="I9">
        <v>2</v>
      </c>
      <c r="J9" s="3">
        <f>WORKDAY(WBS[[#This Row],[開始日]],WBS[[#This Row],[所要日数]]-1,_祝日[日付])</f>
        <v>45650</v>
      </c>
      <c r="K9" t="s">
        <v>25</v>
      </c>
      <c r="L9" s="11">
        <v>0.25</v>
      </c>
      <c r="M9" s="7"/>
      <c r="N9" s="21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5"/>
      <c r="AS9" s="21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  <c r="GT9" s="22"/>
      <c r="GU9" s="22"/>
      <c r="GV9" s="22"/>
      <c r="GW9" s="22"/>
      <c r="GX9" s="22"/>
      <c r="GY9" s="22"/>
      <c r="GZ9" s="22"/>
      <c r="HA9" s="22"/>
      <c r="HB9" s="22"/>
      <c r="HC9" s="22"/>
      <c r="HD9" s="22"/>
      <c r="HE9" s="22"/>
      <c r="HF9" s="22"/>
      <c r="HG9" s="22"/>
      <c r="HH9" s="22"/>
      <c r="HI9" s="22"/>
      <c r="HJ9" s="22"/>
      <c r="HK9" s="22"/>
      <c r="HL9" s="22"/>
      <c r="HM9" s="22"/>
      <c r="HN9" s="22"/>
      <c r="HO9" s="22"/>
      <c r="HP9" s="22"/>
      <c r="HQ9" s="22"/>
      <c r="HR9" s="22"/>
      <c r="HS9" s="22"/>
      <c r="HT9" s="22"/>
      <c r="HU9" s="22"/>
      <c r="HV9" s="22"/>
      <c r="HW9" s="22"/>
      <c r="HX9" s="22"/>
      <c r="HY9" s="22"/>
      <c r="HZ9" s="22"/>
      <c r="IA9" s="22"/>
      <c r="IB9" s="22"/>
      <c r="IC9" s="22"/>
      <c r="ID9" s="22"/>
      <c r="IE9" s="22"/>
      <c r="IF9" s="22"/>
      <c r="IG9" s="22"/>
      <c r="IH9" s="22"/>
      <c r="II9" s="22"/>
      <c r="IJ9" s="22"/>
      <c r="IK9" s="22"/>
      <c r="IL9" s="22"/>
      <c r="IM9" s="22"/>
      <c r="IN9" s="22"/>
      <c r="IO9" s="22"/>
      <c r="IP9" s="22"/>
      <c r="IQ9" s="22"/>
      <c r="IR9" s="22"/>
      <c r="IS9" s="22"/>
      <c r="IT9" s="22"/>
      <c r="IU9" s="22"/>
      <c r="IV9" s="22"/>
      <c r="IW9" s="22"/>
      <c r="IX9" s="22"/>
      <c r="IY9" s="22"/>
      <c r="IZ9" s="22"/>
      <c r="JA9" s="22"/>
      <c r="JB9" s="22"/>
      <c r="JC9" s="22"/>
      <c r="JD9" s="22"/>
      <c r="JE9" s="22"/>
      <c r="JF9" s="22"/>
      <c r="JG9" s="22"/>
      <c r="JH9" s="22"/>
      <c r="JI9" s="22"/>
      <c r="JJ9" s="22"/>
      <c r="JK9" s="22"/>
      <c r="JL9" s="22"/>
      <c r="JM9" s="22"/>
      <c r="JN9" s="22"/>
      <c r="JO9" s="22"/>
      <c r="JP9" s="22"/>
      <c r="JQ9" s="22"/>
      <c r="JR9" s="22"/>
      <c r="JS9" s="22"/>
      <c r="JT9" s="22"/>
      <c r="JU9" s="22"/>
      <c r="JV9" s="22"/>
      <c r="JW9" s="22"/>
      <c r="JX9" s="22"/>
      <c r="JY9" s="22"/>
      <c r="JZ9" s="22"/>
      <c r="KA9" s="22"/>
      <c r="KB9" s="22"/>
      <c r="KC9" s="22"/>
      <c r="KD9" s="22"/>
      <c r="KE9" s="22"/>
      <c r="KF9" s="22"/>
      <c r="KG9" s="22"/>
      <c r="KH9" s="22"/>
      <c r="KI9" s="22"/>
      <c r="KJ9" s="22"/>
      <c r="KK9" s="22"/>
      <c r="KL9" s="22"/>
      <c r="KM9" s="22"/>
      <c r="KN9" s="22"/>
      <c r="KO9" s="22"/>
      <c r="KP9" s="22"/>
      <c r="KQ9" s="22"/>
      <c r="KR9" s="22"/>
      <c r="KS9" s="22"/>
      <c r="KT9" s="22"/>
      <c r="KU9" s="22"/>
      <c r="KV9" s="22"/>
      <c r="KW9" s="22"/>
      <c r="KX9" s="22"/>
      <c r="KY9" s="22"/>
      <c r="KZ9" s="22"/>
      <c r="LA9" s="22"/>
      <c r="LB9" s="22"/>
      <c r="LC9" s="22"/>
      <c r="LD9" s="22"/>
      <c r="LE9" s="22"/>
      <c r="LF9" s="22"/>
      <c r="LG9" s="22"/>
      <c r="LH9" s="22"/>
      <c r="LI9" s="22"/>
      <c r="LJ9" s="22"/>
      <c r="LK9" s="22"/>
      <c r="LL9" s="22"/>
      <c r="LM9" s="22"/>
      <c r="LN9" s="22"/>
      <c r="LO9" s="22"/>
      <c r="LP9" s="22"/>
      <c r="LQ9" s="22"/>
      <c r="LR9" s="22"/>
      <c r="LS9" s="22"/>
      <c r="LT9" s="22"/>
      <c r="LU9" s="22"/>
      <c r="LV9" s="22"/>
      <c r="LW9" s="22"/>
      <c r="LX9" s="22"/>
      <c r="LY9" s="22"/>
      <c r="LZ9" s="22"/>
      <c r="MA9" s="22"/>
      <c r="MB9" s="22"/>
      <c r="MC9" s="22"/>
      <c r="MD9" s="22"/>
      <c r="ME9" s="22"/>
      <c r="MF9" s="22"/>
      <c r="MG9" s="22"/>
      <c r="MH9" s="22"/>
      <c r="MI9" s="22"/>
      <c r="MJ9" s="22"/>
      <c r="MK9" s="22"/>
      <c r="ML9" s="22"/>
      <c r="MM9" s="22"/>
      <c r="MN9" s="22"/>
      <c r="MO9" s="22"/>
      <c r="MP9" s="22"/>
      <c r="MQ9" s="22"/>
      <c r="MR9" s="22"/>
      <c r="MS9" s="22"/>
      <c r="MT9" s="22"/>
      <c r="MU9" s="22"/>
      <c r="MV9" s="22"/>
      <c r="MW9" s="22"/>
      <c r="MX9" s="22"/>
      <c r="MY9" s="22"/>
      <c r="MZ9" s="22"/>
      <c r="NA9" s="22"/>
      <c r="NB9" s="22"/>
      <c r="NC9" s="22"/>
      <c r="ND9" s="22"/>
      <c r="NE9" s="22"/>
      <c r="NF9" s="22"/>
      <c r="NG9" s="22"/>
      <c r="NH9" s="22"/>
      <c r="NI9" s="22"/>
      <c r="NJ9" s="22"/>
      <c r="NK9" s="22"/>
      <c r="NL9" s="22"/>
      <c r="NM9" s="22"/>
      <c r="NN9" s="22"/>
      <c r="NO9" s="25"/>
    </row>
    <row r="10" spans="1:379">
      <c r="A10">
        <f t="shared" si="0"/>
        <v>6</v>
      </c>
      <c r="B10" t="s">
        <v>42</v>
      </c>
      <c r="H10" s="3"/>
      <c r="J10" s="3"/>
      <c r="K10" t="s">
        <v>25</v>
      </c>
      <c r="L10" s="11"/>
      <c r="M10" s="7"/>
      <c r="N10" s="19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4"/>
      <c r="AS10" s="19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  <c r="IW10" s="20"/>
      <c r="IX10" s="20"/>
      <c r="IY10" s="20"/>
      <c r="IZ10" s="20"/>
      <c r="JA10" s="20"/>
      <c r="JB10" s="20"/>
      <c r="JC10" s="20"/>
      <c r="JD10" s="20"/>
      <c r="JE10" s="20"/>
      <c r="JF10" s="20"/>
      <c r="JG10" s="20"/>
      <c r="JH10" s="20"/>
      <c r="JI10" s="20"/>
      <c r="JJ10" s="20"/>
      <c r="JK10" s="20"/>
      <c r="JL10" s="20"/>
      <c r="JM10" s="20"/>
      <c r="JN10" s="20"/>
      <c r="JO10" s="20"/>
      <c r="JP10" s="20"/>
      <c r="JQ10" s="20"/>
      <c r="JR10" s="20"/>
      <c r="JS10" s="20"/>
      <c r="JT10" s="20"/>
      <c r="JU10" s="20"/>
      <c r="JV10" s="20"/>
      <c r="JW10" s="20"/>
      <c r="JX10" s="20"/>
      <c r="JY10" s="20"/>
      <c r="JZ10" s="20"/>
      <c r="KA10" s="20"/>
      <c r="KB10" s="20"/>
      <c r="KC10" s="20"/>
      <c r="KD10" s="20"/>
      <c r="KE10" s="20"/>
      <c r="KF10" s="20"/>
      <c r="KG10" s="20"/>
      <c r="KH10" s="20"/>
      <c r="KI10" s="20"/>
      <c r="KJ10" s="20"/>
      <c r="KK10" s="20"/>
      <c r="KL10" s="20"/>
      <c r="KM10" s="20"/>
      <c r="KN10" s="20"/>
      <c r="KO10" s="20"/>
      <c r="KP10" s="20"/>
      <c r="KQ10" s="20"/>
      <c r="KR10" s="20"/>
      <c r="KS10" s="20"/>
      <c r="KT10" s="20"/>
      <c r="KU10" s="20"/>
      <c r="KV10" s="20"/>
      <c r="KW10" s="20"/>
      <c r="KX10" s="20"/>
      <c r="KY10" s="20"/>
      <c r="KZ10" s="20"/>
      <c r="LA10" s="20"/>
      <c r="LB10" s="20"/>
      <c r="LC10" s="20"/>
      <c r="LD10" s="20"/>
      <c r="LE10" s="20"/>
      <c r="LF10" s="20"/>
      <c r="LG10" s="20"/>
      <c r="LH10" s="20"/>
      <c r="LI10" s="20"/>
      <c r="LJ10" s="20"/>
      <c r="LK10" s="20"/>
      <c r="LL10" s="20"/>
      <c r="LM10" s="20"/>
      <c r="LN10" s="20"/>
      <c r="LO10" s="20"/>
      <c r="LP10" s="20"/>
      <c r="LQ10" s="20"/>
      <c r="LR10" s="20"/>
      <c r="LS10" s="20"/>
      <c r="LT10" s="20"/>
      <c r="LU10" s="20"/>
      <c r="LV10" s="20"/>
      <c r="LW10" s="20"/>
      <c r="LX10" s="20"/>
      <c r="LY10" s="20"/>
      <c r="LZ10" s="20"/>
      <c r="MA10" s="20"/>
      <c r="MB10" s="20"/>
      <c r="MC10" s="20"/>
      <c r="MD10" s="20"/>
      <c r="ME10" s="20"/>
      <c r="MF10" s="20"/>
      <c r="MG10" s="20"/>
      <c r="MH10" s="20"/>
      <c r="MI10" s="20"/>
      <c r="MJ10" s="20"/>
      <c r="MK10" s="20"/>
      <c r="ML10" s="20"/>
      <c r="MM10" s="20"/>
      <c r="MN10" s="20"/>
      <c r="MO10" s="20"/>
      <c r="MP10" s="20"/>
      <c r="MQ10" s="20"/>
      <c r="MR10" s="20"/>
      <c r="MS10" s="20"/>
      <c r="MT10" s="20"/>
      <c r="MU10" s="20"/>
      <c r="MV10" s="20"/>
      <c r="MW10" s="20"/>
      <c r="MX10" s="20"/>
      <c r="MY10" s="20"/>
      <c r="MZ10" s="20"/>
      <c r="NA10" s="20"/>
      <c r="NB10" s="20"/>
      <c r="NC10" s="20"/>
      <c r="ND10" s="20"/>
      <c r="NE10" s="20"/>
      <c r="NF10" s="20"/>
      <c r="NG10" s="20"/>
      <c r="NH10" s="20"/>
      <c r="NI10" s="20"/>
      <c r="NJ10" s="20"/>
      <c r="NK10" s="20"/>
      <c r="NL10" s="20"/>
      <c r="NM10" s="20"/>
      <c r="NN10" s="20"/>
      <c r="NO10" s="24"/>
    </row>
    <row r="11" spans="1:379">
      <c r="A11">
        <f t="shared" si="0"/>
        <v>7</v>
      </c>
      <c r="H11" s="3"/>
      <c r="J11" s="3"/>
      <c r="L11" s="11"/>
      <c r="M11" s="7"/>
      <c r="N11" s="19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4"/>
      <c r="AS11" s="19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0"/>
      <c r="MP11" s="20"/>
      <c r="MQ11" s="20"/>
      <c r="MR11" s="20"/>
      <c r="MS11" s="20"/>
      <c r="MT11" s="20"/>
      <c r="MU11" s="20"/>
      <c r="MV11" s="20"/>
      <c r="MW11" s="20"/>
      <c r="MX11" s="20"/>
      <c r="MY11" s="20"/>
      <c r="MZ11" s="20"/>
      <c r="NA11" s="20"/>
      <c r="NB11" s="20"/>
      <c r="NC11" s="20"/>
      <c r="ND11" s="20"/>
      <c r="NE11" s="20"/>
      <c r="NF11" s="20"/>
      <c r="NG11" s="20"/>
      <c r="NH11" s="20"/>
      <c r="NI11" s="20"/>
      <c r="NJ11" s="20"/>
      <c r="NK11" s="20"/>
      <c r="NL11" s="20"/>
      <c r="NM11" s="20"/>
      <c r="NN11" s="20"/>
      <c r="NO11" s="24"/>
    </row>
    <row r="12" spans="1:379">
      <c r="A12">
        <f t="shared" si="0"/>
        <v>8</v>
      </c>
      <c r="B12" t="s">
        <v>43</v>
      </c>
      <c r="H12" s="3"/>
      <c r="J12" s="3"/>
      <c r="K12" t="s">
        <v>25</v>
      </c>
      <c r="L12" s="11"/>
      <c r="M12" s="9"/>
      <c r="N12" s="19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4"/>
      <c r="AS12" s="19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  <c r="EP12" s="20"/>
      <c r="EQ12" s="20"/>
      <c r="ER12" s="20"/>
      <c r="ES12" s="20"/>
      <c r="ET12" s="20"/>
      <c r="EU12" s="20"/>
      <c r="EV12" s="20"/>
      <c r="EW12" s="20"/>
      <c r="EX12" s="20"/>
      <c r="EY12" s="20"/>
      <c r="EZ12" s="20"/>
      <c r="FA12" s="20"/>
      <c r="FB12" s="20"/>
      <c r="FC12" s="20"/>
      <c r="FD12" s="20"/>
      <c r="FE12" s="20"/>
      <c r="FF12" s="20"/>
      <c r="FG12" s="20"/>
      <c r="FH12" s="20"/>
      <c r="FI12" s="20"/>
      <c r="FJ12" s="20"/>
      <c r="FK12" s="20"/>
      <c r="FL12" s="20"/>
      <c r="FM12" s="20"/>
      <c r="FN12" s="20"/>
      <c r="FO12" s="20"/>
      <c r="FP12" s="20"/>
      <c r="FQ12" s="20"/>
      <c r="FR12" s="20"/>
      <c r="FS12" s="20"/>
      <c r="FT12" s="20"/>
      <c r="FU12" s="20"/>
      <c r="FV12" s="20"/>
      <c r="FW12" s="20"/>
      <c r="FX12" s="20"/>
      <c r="FY12" s="20"/>
      <c r="FZ12" s="20"/>
      <c r="GA12" s="20"/>
      <c r="GB12" s="20"/>
      <c r="GC12" s="20"/>
      <c r="GD12" s="20"/>
      <c r="GE12" s="20"/>
      <c r="GF12" s="20"/>
      <c r="GG12" s="20"/>
      <c r="GH12" s="20"/>
      <c r="GI12" s="20"/>
      <c r="GJ12" s="20"/>
      <c r="GK12" s="20"/>
      <c r="GL12" s="20"/>
      <c r="GM12" s="20"/>
      <c r="GN12" s="20"/>
      <c r="GO12" s="20"/>
      <c r="GP12" s="20"/>
      <c r="GQ12" s="20"/>
      <c r="GR12" s="20"/>
      <c r="GS12" s="20"/>
      <c r="GT12" s="20"/>
      <c r="GU12" s="20"/>
      <c r="GV12" s="20"/>
      <c r="GW12" s="20"/>
      <c r="GX12" s="20"/>
      <c r="GY12" s="20"/>
      <c r="GZ12" s="20"/>
      <c r="HA12" s="20"/>
      <c r="HB12" s="20"/>
      <c r="HC12" s="20"/>
      <c r="HD12" s="20"/>
      <c r="HE12" s="20"/>
      <c r="HF12" s="20"/>
      <c r="HG12" s="20"/>
      <c r="HH12" s="20"/>
      <c r="HI12" s="20"/>
      <c r="HJ12" s="20"/>
      <c r="HK12" s="20"/>
      <c r="HL12" s="20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20"/>
      <c r="IK12" s="20"/>
      <c r="IL12" s="20"/>
      <c r="IM12" s="20"/>
      <c r="IN12" s="20"/>
      <c r="IO12" s="20"/>
      <c r="IP12" s="20"/>
      <c r="IQ12" s="20"/>
      <c r="IR12" s="20"/>
      <c r="IS12" s="20"/>
      <c r="IT12" s="20"/>
      <c r="IU12" s="20"/>
      <c r="IV12" s="20"/>
      <c r="IW12" s="20"/>
      <c r="IX12" s="20"/>
      <c r="IY12" s="20"/>
      <c r="IZ12" s="20"/>
      <c r="JA12" s="20"/>
      <c r="JB12" s="20"/>
      <c r="JC12" s="20"/>
      <c r="JD12" s="20"/>
      <c r="JE12" s="20"/>
      <c r="JF12" s="20"/>
      <c r="JG12" s="20"/>
      <c r="JH12" s="20"/>
      <c r="JI12" s="20"/>
      <c r="JJ12" s="20"/>
      <c r="JK12" s="20"/>
      <c r="JL12" s="20"/>
      <c r="JM12" s="20"/>
      <c r="JN12" s="20"/>
      <c r="JO12" s="20"/>
      <c r="JP12" s="20"/>
      <c r="JQ12" s="20"/>
      <c r="JR12" s="20"/>
      <c r="JS12" s="20"/>
      <c r="JT12" s="20"/>
      <c r="JU12" s="20"/>
      <c r="JV12" s="20"/>
      <c r="JW12" s="20"/>
      <c r="JX12" s="20"/>
      <c r="JY12" s="20"/>
      <c r="JZ12" s="20"/>
      <c r="KA12" s="20"/>
      <c r="KB12" s="20"/>
      <c r="KC12" s="20"/>
      <c r="KD12" s="20"/>
      <c r="KE12" s="20"/>
      <c r="KF12" s="20"/>
      <c r="KG12" s="20"/>
      <c r="KH12" s="20"/>
      <c r="KI12" s="20"/>
      <c r="KJ12" s="20"/>
      <c r="KK12" s="20"/>
      <c r="KL12" s="20"/>
      <c r="KM12" s="20"/>
      <c r="KN12" s="20"/>
      <c r="KO12" s="20"/>
      <c r="KP12" s="20"/>
      <c r="KQ12" s="20"/>
      <c r="KR12" s="20"/>
      <c r="KS12" s="20"/>
      <c r="KT12" s="20"/>
      <c r="KU12" s="20"/>
      <c r="KV12" s="20"/>
      <c r="KW12" s="20"/>
      <c r="KX12" s="20"/>
      <c r="KY12" s="20"/>
      <c r="KZ12" s="20"/>
      <c r="LA12" s="20"/>
      <c r="LB12" s="20"/>
      <c r="LC12" s="20"/>
      <c r="LD12" s="20"/>
      <c r="LE12" s="20"/>
      <c r="LF12" s="20"/>
      <c r="LG12" s="20"/>
      <c r="LH12" s="20"/>
      <c r="LI12" s="20"/>
      <c r="LJ12" s="20"/>
      <c r="LK12" s="20"/>
      <c r="LL12" s="20"/>
      <c r="LM12" s="20"/>
      <c r="LN12" s="20"/>
      <c r="LO12" s="20"/>
      <c r="LP12" s="20"/>
      <c r="LQ12" s="20"/>
      <c r="LR12" s="20"/>
      <c r="LS12" s="20"/>
      <c r="LT12" s="20"/>
      <c r="LU12" s="20"/>
      <c r="LV12" s="20"/>
      <c r="LW12" s="20"/>
      <c r="LX12" s="20"/>
      <c r="LY12" s="20"/>
      <c r="LZ12" s="20"/>
      <c r="MA12" s="20"/>
      <c r="MB12" s="20"/>
      <c r="MC12" s="20"/>
      <c r="MD12" s="20"/>
      <c r="ME12" s="20"/>
      <c r="MF12" s="20"/>
      <c r="MG12" s="20"/>
      <c r="MH12" s="20"/>
      <c r="MI12" s="20"/>
      <c r="MJ12" s="20"/>
      <c r="MK12" s="20"/>
      <c r="ML12" s="20"/>
      <c r="MM12" s="20"/>
      <c r="MN12" s="20"/>
      <c r="MO12" s="20"/>
      <c r="MP12" s="20"/>
      <c r="MQ12" s="20"/>
      <c r="MR12" s="20"/>
      <c r="MS12" s="20"/>
      <c r="MT12" s="20"/>
      <c r="MU12" s="20"/>
      <c r="MV12" s="20"/>
      <c r="MW12" s="20"/>
      <c r="MX12" s="20"/>
      <c r="MY12" s="20"/>
      <c r="MZ12" s="20"/>
      <c r="NA12" s="20"/>
      <c r="NB12" s="20"/>
      <c r="NC12" s="20"/>
      <c r="ND12" s="20"/>
      <c r="NE12" s="20"/>
      <c r="NF12" s="20"/>
      <c r="NG12" s="20"/>
      <c r="NH12" s="20"/>
      <c r="NI12" s="20"/>
      <c r="NJ12" s="20"/>
      <c r="NK12" s="20"/>
      <c r="NL12" s="20"/>
      <c r="NM12" s="20"/>
      <c r="NN12" s="20"/>
      <c r="NO12" s="24"/>
    </row>
    <row r="13" spans="1:379">
      <c r="A13">
        <f t="shared" si="0"/>
        <v>9</v>
      </c>
      <c r="H13" s="3"/>
      <c r="J13" s="3"/>
      <c r="L13" s="11"/>
      <c r="M13" s="7"/>
      <c r="N13" s="19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4"/>
      <c r="AS13" s="19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  <c r="EP13" s="20"/>
      <c r="EQ13" s="20"/>
      <c r="ER13" s="20"/>
      <c r="ES13" s="20"/>
      <c r="ET13" s="20"/>
      <c r="EU13" s="20"/>
      <c r="EV13" s="20"/>
      <c r="EW13" s="20"/>
      <c r="EX13" s="20"/>
      <c r="EY13" s="20"/>
      <c r="EZ13" s="20"/>
      <c r="FA13" s="20"/>
      <c r="FB13" s="20"/>
      <c r="FC13" s="20"/>
      <c r="FD13" s="20"/>
      <c r="FE13" s="20"/>
      <c r="FF13" s="20"/>
      <c r="FG13" s="20"/>
      <c r="FH13" s="20"/>
      <c r="FI13" s="20"/>
      <c r="FJ13" s="20"/>
      <c r="FK13" s="20"/>
      <c r="FL13" s="20"/>
      <c r="FM13" s="20"/>
      <c r="FN13" s="20"/>
      <c r="FO13" s="20"/>
      <c r="FP13" s="20"/>
      <c r="FQ13" s="20"/>
      <c r="FR13" s="20"/>
      <c r="FS13" s="20"/>
      <c r="FT13" s="20"/>
      <c r="FU13" s="20"/>
      <c r="FV13" s="20"/>
      <c r="FW13" s="20"/>
      <c r="FX13" s="20"/>
      <c r="FY13" s="20"/>
      <c r="FZ13" s="20"/>
      <c r="GA13" s="20"/>
      <c r="GB13" s="20"/>
      <c r="GC13" s="20"/>
      <c r="GD13" s="20"/>
      <c r="GE13" s="20"/>
      <c r="GF13" s="20"/>
      <c r="GG13" s="20"/>
      <c r="GH13" s="20"/>
      <c r="GI13" s="20"/>
      <c r="GJ13" s="20"/>
      <c r="GK13" s="20"/>
      <c r="GL13" s="20"/>
      <c r="GM13" s="20"/>
      <c r="GN13" s="20"/>
      <c r="GO13" s="20"/>
      <c r="GP13" s="20"/>
      <c r="GQ13" s="20"/>
      <c r="GR13" s="20"/>
      <c r="GS13" s="20"/>
      <c r="GT13" s="20"/>
      <c r="GU13" s="20"/>
      <c r="GV13" s="20"/>
      <c r="GW13" s="20"/>
      <c r="GX13" s="20"/>
      <c r="GY13" s="20"/>
      <c r="GZ13" s="20"/>
      <c r="HA13" s="20"/>
      <c r="HB13" s="20"/>
      <c r="HC13" s="20"/>
      <c r="HD13" s="20"/>
      <c r="HE13" s="20"/>
      <c r="HF13" s="20"/>
      <c r="HG13" s="20"/>
      <c r="HH13" s="20"/>
      <c r="HI13" s="20"/>
      <c r="HJ13" s="20"/>
      <c r="HK13" s="20"/>
      <c r="HL13" s="20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20"/>
      <c r="IK13" s="20"/>
      <c r="IL13" s="20"/>
      <c r="IM13" s="20"/>
      <c r="IN13" s="20"/>
      <c r="IO13" s="20"/>
      <c r="IP13" s="20"/>
      <c r="IQ13" s="20"/>
      <c r="IR13" s="20"/>
      <c r="IS13" s="20"/>
      <c r="IT13" s="20"/>
      <c r="IU13" s="20"/>
      <c r="IV13" s="20"/>
      <c r="IW13" s="20"/>
      <c r="IX13" s="20"/>
      <c r="IY13" s="20"/>
      <c r="IZ13" s="20"/>
      <c r="JA13" s="20"/>
      <c r="JB13" s="20"/>
      <c r="JC13" s="20"/>
      <c r="JD13" s="20"/>
      <c r="JE13" s="20"/>
      <c r="JF13" s="20"/>
      <c r="JG13" s="20"/>
      <c r="JH13" s="20"/>
      <c r="JI13" s="20"/>
      <c r="JJ13" s="20"/>
      <c r="JK13" s="20"/>
      <c r="JL13" s="20"/>
      <c r="JM13" s="20"/>
      <c r="JN13" s="20"/>
      <c r="JO13" s="20"/>
      <c r="JP13" s="20"/>
      <c r="JQ13" s="20"/>
      <c r="JR13" s="20"/>
      <c r="JS13" s="20"/>
      <c r="JT13" s="20"/>
      <c r="JU13" s="20"/>
      <c r="JV13" s="20"/>
      <c r="JW13" s="20"/>
      <c r="JX13" s="20"/>
      <c r="JY13" s="20"/>
      <c r="JZ13" s="20"/>
      <c r="KA13" s="20"/>
      <c r="KB13" s="20"/>
      <c r="KC13" s="20"/>
      <c r="KD13" s="20"/>
      <c r="KE13" s="20"/>
      <c r="KF13" s="20"/>
      <c r="KG13" s="20"/>
      <c r="KH13" s="20"/>
      <c r="KI13" s="20"/>
      <c r="KJ13" s="20"/>
      <c r="KK13" s="20"/>
      <c r="KL13" s="20"/>
      <c r="KM13" s="20"/>
      <c r="KN13" s="20"/>
      <c r="KO13" s="20"/>
      <c r="KP13" s="20"/>
      <c r="KQ13" s="20"/>
      <c r="KR13" s="20"/>
      <c r="KS13" s="20"/>
      <c r="KT13" s="20"/>
      <c r="KU13" s="20"/>
      <c r="KV13" s="20"/>
      <c r="KW13" s="20"/>
      <c r="KX13" s="20"/>
      <c r="KY13" s="20"/>
      <c r="KZ13" s="20"/>
      <c r="LA13" s="20"/>
      <c r="LB13" s="20"/>
      <c r="LC13" s="20"/>
      <c r="LD13" s="20"/>
      <c r="LE13" s="20"/>
      <c r="LF13" s="20"/>
      <c r="LG13" s="20"/>
      <c r="LH13" s="20"/>
      <c r="LI13" s="20"/>
      <c r="LJ13" s="20"/>
      <c r="LK13" s="20"/>
      <c r="LL13" s="20"/>
      <c r="LM13" s="20"/>
      <c r="LN13" s="20"/>
      <c r="LO13" s="20"/>
      <c r="LP13" s="20"/>
      <c r="LQ13" s="20"/>
      <c r="LR13" s="20"/>
      <c r="LS13" s="20"/>
      <c r="LT13" s="20"/>
      <c r="LU13" s="20"/>
      <c r="LV13" s="20"/>
      <c r="LW13" s="20"/>
      <c r="LX13" s="20"/>
      <c r="LY13" s="20"/>
      <c r="LZ13" s="20"/>
      <c r="MA13" s="20"/>
      <c r="MB13" s="20"/>
      <c r="MC13" s="20"/>
      <c r="MD13" s="20"/>
      <c r="ME13" s="20"/>
      <c r="MF13" s="20"/>
      <c r="MG13" s="20"/>
      <c r="MH13" s="20"/>
      <c r="MI13" s="20"/>
      <c r="MJ13" s="20"/>
      <c r="MK13" s="20"/>
      <c r="ML13" s="20"/>
      <c r="MM13" s="20"/>
      <c r="MN13" s="20"/>
      <c r="MO13" s="20"/>
      <c r="MP13" s="20"/>
      <c r="MQ13" s="20"/>
      <c r="MR13" s="20"/>
      <c r="MS13" s="20"/>
      <c r="MT13" s="20"/>
      <c r="MU13" s="20"/>
      <c r="MV13" s="20"/>
      <c r="MW13" s="20"/>
      <c r="MX13" s="20"/>
      <c r="MY13" s="20"/>
      <c r="MZ13" s="20"/>
      <c r="NA13" s="20"/>
      <c r="NB13" s="20"/>
      <c r="NC13" s="20"/>
      <c r="ND13" s="20"/>
      <c r="NE13" s="20"/>
      <c r="NF13" s="20"/>
      <c r="NG13" s="20"/>
      <c r="NH13" s="20"/>
      <c r="NI13" s="20"/>
      <c r="NJ13" s="20"/>
      <c r="NK13" s="20"/>
      <c r="NL13" s="20"/>
      <c r="NM13" s="20"/>
      <c r="NN13" s="20"/>
      <c r="NO13" s="24"/>
    </row>
    <row r="14" spans="1:379">
      <c r="A14">
        <f t="shared" si="0"/>
        <v>10</v>
      </c>
      <c r="B14" t="s">
        <v>44</v>
      </c>
      <c r="H14" s="3"/>
      <c r="J14" s="3"/>
      <c r="K14" t="s">
        <v>25</v>
      </c>
      <c r="L14" s="11"/>
      <c r="M14" s="7"/>
      <c r="N14" s="19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4"/>
      <c r="AS14" s="19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0"/>
      <c r="GR14" s="20"/>
      <c r="GS14" s="20"/>
      <c r="GT14" s="20"/>
      <c r="GU14" s="20"/>
      <c r="GV14" s="20"/>
      <c r="GW14" s="20"/>
      <c r="GX14" s="20"/>
      <c r="GY14" s="20"/>
      <c r="GZ14" s="20"/>
      <c r="HA14" s="20"/>
      <c r="HB14" s="20"/>
      <c r="HC14" s="20"/>
      <c r="HD14" s="20"/>
      <c r="HE14" s="20"/>
      <c r="HF14" s="20"/>
      <c r="HG14" s="20"/>
      <c r="HH14" s="20"/>
      <c r="HI14" s="20"/>
      <c r="HJ14" s="20"/>
      <c r="HK14" s="20"/>
      <c r="HL14" s="20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20"/>
      <c r="IK14" s="20"/>
      <c r="IL14" s="20"/>
      <c r="IM14" s="20"/>
      <c r="IN14" s="20"/>
      <c r="IO14" s="20"/>
      <c r="IP14" s="20"/>
      <c r="IQ14" s="20"/>
      <c r="IR14" s="20"/>
      <c r="IS14" s="20"/>
      <c r="IT14" s="20"/>
      <c r="IU14" s="20"/>
      <c r="IV14" s="20"/>
      <c r="IW14" s="20"/>
      <c r="IX14" s="20"/>
      <c r="IY14" s="20"/>
      <c r="IZ14" s="20"/>
      <c r="JA14" s="20"/>
      <c r="JB14" s="20"/>
      <c r="JC14" s="20"/>
      <c r="JD14" s="20"/>
      <c r="JE14" s="20"/>
      <c r="JF14" s="20"/>
      <c r="JG14" s="20"/>
      <c r="JH14" s="20"/>
      <c r="JI14" s="20"/>
      <c r="JJ14" s="20"/>
      <c r="JK14" s="20"/>
      <c r="JL14" s="20"/>
      <c r="JM14" s="20"/>
      <c r="JN14" s="20"/>
      <c r="JO14" s="20"/>
      <c r="JP14" s="20"/>
      <c r="JQ14" s="20"/>
      <c r="JR14" s="20"/>
      <c r="JS14" s="20"/>
      <c r="JT14" s="20"/>
      <c r="JU14" s="20"/>
      <c r="JV14" s="20"/>
      <c r="JW14" s="20"/>
      <c r="JX14" s="20"/>
      <c r="JY14" s="20"/>
      <c r="JZ14" s="20"/>
      <c r="KA14" s="20"/>
      <c r="KB14" s="20"/>
      <c r="KC14" s="20"/>
      <c r="KD14" s="20"/>
      <c r="KE14" s="20"/>
      <c r="KF14" s="20"/>
      <c r="KG14" s="20"/>
      <c r="KH14" s="20"/>
      <c r="KI14" s="20"/>
      <c r="KJ14" s="20"/>
      <c r="KK14" s="20"/>
      <c r="KL14" s="20"/>
      <c r="KM14" s="20"/>
      <c r="KN14" s="20"/>
      <c r="KO14" s="20"/>
      <c r="KP14" s="20"/>
      <c r="KQ14" s="20"/>
      <c r="KR14" s="20"/>
      <c r="KS14" s="20"/>
      <c r="KT14" s="20"/>
      <c r="KU14" s="20"/>
      <c r="KV14" s="20"/>
      <c r="KW14" s="20"/>
      <c r="KX14" s="20"/>
      <c r="KY14" s="20"/>
      <c r="KZ14" s="20"/>
      <c r="LA14" s="20"/>
      <c r="LB14" s="20"/>
      <c r="LC14" s="20"/>
      <c r="LD14" s="20"/>
      <c r="LE14" s="20"/>
      <c r="LF14" s="20"/>
      <c r="LG14" s="20"/>
      <c r="LH14" s="20"/>
      <c r="LI14" s="20"/>
      <c r="LJ14" s="20"/>
      <c r="LK14" s="20"/>
      <c r="LL14" s="20"/>
      <c r="LM14" s="20"/>
      <c r="LN14" s="20"/>
      <c r="LO14" s="20"/>
      <c r="LP14" s="20"/>
      <c r="LQ14" s="20"/>
      <c r="LR14" s="20"/>
      <c r="LS14" s="20"/>
      <c r="LT14" s="20"/>
      <c r="LU14" s="20"/>
      <c r="LV14" s="20"/>
      <c r="LW14" s="20"/>
      <c r="LX14" s="20"/>
      <c r="LY14" s="20"/>
      <c r="LZ14" s="20"/>
      <c r="MA14" s="20"/>
      <c r="MB14" s="20"/>
      <c r="MC14" s="20"/>
      <c r="MD14" s="20"/>
      <c r="ME14" s="20"/>
      <c r="MF14" s="20"/>
      <c r="MG14" s="20"/>
      <c r="MH14" s="20"/>
      <c r="MI14" s="20"/>
      <c r="MJ14" s="20"/>
      <c r="MK14" s="20"/>
      <c r="ML14" s="20"/>
      <c r="MM14" s="20"/>
      <c r="MN14" s="20"/>
      <c r="MO14" s="20"/>
      <c r="MP14" s="20"/>
      <c r="MQ14" s="20"/>
      <c r="MR14" s="20"/>
      <c r="MS14" s="20"/>
      <c r="MT14" s="20"/>
      <c r="MU14" s="20"/>
      <c r="MV14" s="20"/>
      <c r="MW14" s="20"/>
      <c r="MX14" s="20"/>
      <c r="MY14" s="20"/>
      <c r="MZ14" s="20"/>
      <c r="NA14" s="20"/>
      <c r="NB14" s="20"/>
      <c r="NC14" s="20"/>
      <c r="ND14" s="20"/>
      <c r="NE14" s="20"/>
      <c r="NF14" s="20"/>
      <c r="NG14" s="20"/>
      <c r="NH14" s="20"/>
      <c r="NI14" s="20"/>
      <c r="NJ14" s="20"/>
      <c r="NK14" s="20"/>
      <c r="NL14" s="20"/>
      <c r="NM14" s="20"/>
      <c r="NN14" s="20"/>
      <c r="NO14" s="24"/>
    </row>
    <row r="15" spans="1:379">
      <c r="A15">
        <f t="shared" si="0"/>
        <v>11</v>
      </c>
      <c r="H15" s="3"/>
      <c r="J15" s="3"/>
      <c r="L15" s="11"/>
      <c r="M15" s="7"/>
      <c r="N15" s="19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4"/>
      <c r="AS15" s="19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20"/>
      <c r="IY15" s="20"/>
      <c r="IZ15" s="20"/>
      <c r="JA15" s="20"/>
      <c r="JB15" s="20"/>
      <c r="JC15" s="20"/>
      <c r="JD15" s="20"/>
      <c r="JE15" s="20"/>
      <c r="JF15" s="20"/>
      <c r="JG15" s="20"/>
      <c r="JH15" s="20"/>
      <c r="JI15" s="20"/>
      <c r="JJ15" s="20"/>
      <c r="JK15" s="20"/>
      <c r="JL15" s="20"/>
      <c r="JM15" s="20"/>
      <c r="JN15" s="20"/>
      <c r="JO15" s="20"/>
      <c r="JP15" s="20"/>
      <c r="JQ15" s="20"/>
      <c r="JR15" s="20"/>
      <c r="JS15" s="20"/>
      <c r="JT15" s="20"/>
      <c r="JU15" s="20"/>
      <c r="JV15" s="20"/>
      <c r="JW15" s="20"/>
      <c r="JX15" s="20"/>
      <c r="JY15" s="20"/>
      <c r="JZ15" s="20"/>
      <c r="KA15" s="20"/>
      <c r="KB15" s="20"/>
      <c r="KC15" s="20"/>
      <c r="KD15" s="20"/>
      <c r="KE15" s="20"/>
      <c r="KF15" s="20"/>
      <c r="KG15" s="20"/>
      <c r="KH15" s="20"/>
      <c r="KI15" s="20"/>
      <c r="KJ15" s="20"/>
      <c r="KK15" s="20"/>
      <c r="KL15" s="20"/>
      <c r="KM15" s="20"/>
      <c r="KN15" s="20"/>
      <c r="KO15" s="20"/>
      <c r="KP15" s="20"/>
      <c r="KQ15" s="20"/>
      <c r="KR15" s="20"/>
      <c r="KS15" s="20"/>
      <c r="KT15" s="20"/>
      <c r="KU15" s="20"/>
      <c r="KV15" s="20"/>
      <c r="KW15" s="20"/>
      <c r="KX15" s="20"/>
      <c r="KY15" s="20"/>
      <c r="KZ15" s="20"/>
      <c r="LA15" s="20"/>
      <c r="LB15" s="20"/>
      <c r="LC15" s="20"/>
      <c r="LD15" s="20"/>
      <c r="LE15" s="20"/>
      <c r="LF15" s="20"/>
      <c r="LG15" s="20"/>
      <c r="LH15" s="20"/>
      <c r="LI15" s="20"/>
      <c r="LJ15" s="20"/>
      <c r="LK15" s="20"/>
      <c r="LL15" s="20"/>
      <c r="LM15" s="20"/>
      <c r="LN15" s="20"/>
      <c r="LO15" s="20"/>
      <c r="LP15" s="20"/>
      <c r="LQ15" s="20"/>
      <c r="LR15" s="20"/>
      <c r="LS15" s="20"/>
      <c r="LT15" s="20"/>
      <c r="LU15" s="20"/>
      <c r="LV15" s="20"/>
      <c r="LW15" s="20"/>
      <c r="LX15" s="20"/>
      <c r="LY15" s="20"/>
      <c r="LZ15" s="20"/>
      <c r="MA15" s="20"/>
      <c r="MB15" s="20"/>
      <c r="MC15" s="20"/>
      <c r="MD15" s="20"/>
      <c r="ME15" s="20"/>
      <c r="MF15" s="20"/>
      <c r="MG15" s="20"/>
      <c r="MH15" s="20"/>
      <c r="MI15" s="20"/>
      <c r="MJ15" s="20"/>
      <c r="MK15" s="20"/>
      <c r="ML15" s="20"/>
      <c r="MM15" s="20"/>
      <c r="MN15" s="20"/>
      <c r="MO15" s="20"/>
      <c r="MP15" s="20"/>
      <c r="MQ15" s="20"/>
      <c r="MR15" s="20"/>
      <c r="MS15" s="20"/>
      <c r="MT15" s="20"/>
      <c r="MU15" s="20"/>
      <c r="MV15" s="20"/>
      <c r="MW15" s="20"/>
      <c r="MX15" s="20"/>
      <c r="MY15" s="20"/>
      <c r="MZ15" s="20"/>
      <c r="NA15" s="20"/>
      <c r="NB15" s="20"/>
      <c r="NC15" s="20"/>
      <c r="ND15" s="20"/>
      <c r="NE15" s="20"/>
      <c r="NF15" s="20"/>
      <c r="NG15" s="20"/>
      <c r="NH15" s="20"/>
      <c r="NI15" s="20"/>
      <c r="NJ15" s="20"/>
      <c r="NK15" s="20"/>
      <c r="NL15" s="20"/>
      <c r="NM15" s="20"/>
      <c r="NN15" s="20"/>
      <c r="NO15" s="24"/>
    </row>
    <row r="16" spans="1:379">
      <c r="A16">
        <f t="shared" si="0"/>
        <v>12</v>
      </c>
      <c r="H16" s="3"/>
      <c r="J16" s="3"/>
      <c r="L16" s="11"/>
      <c r="M16" s="7"/>
      <c r="N16" s="19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4"/>
      <c r="AS16" s="19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  <c r="NK16" s="20"/>
      <c r="NL16" s="20"/>
      <c r="NM16" s="20"/>
      <c r="NN16" s="20"/>
      <c r="NO16" s="24"/>
    </row>
    <row r="17" spans="1:379">
      <c r="A17">
        <f t="shared" si="0"/>
        <v>13</v>
      </c>
      <c r="H17" s="3"/>
      <c r="J17" s="3"/>
      <c r="L17" s="11"/>
      <c r="M17" s="7"/>
      <c r="N17" s="19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4"/>
      <c r="AS17" s="19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  <c r="NK17" s="20"/>
      <c r="NL17" s="20"/>
      <c r="NM17" s="20"/>
      <c r="NN17" s="20"/>
      <c r="NO17" s="24"/>
    </row>
    <row r="18" spans="1:379">
      <c r="A18">
        <f t="shared" si="0"/>
        <v>14</v>
      </c>
      <c r="H18" s="3"/>
      <c r="J18" s="3"/>
      <c r="L18" s="11"/>
      <c r="M18" s="7"/>
      <c r="N18" s="19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4"/>
      <c r="AS18" s="19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  <c r="NK18" s="20"/>
      <c r="NL18" s="20"/>
      <c r="NM18" s="20"/>
      <c r="NN18" s="20"/>
      <c r="NO18" s="24"/>
    </row>
    <row r="19" spans="1:379">
      <c r="A19">
        <f t="shared" si="0"/>
        <v>15</v>
      </c>
      <c r="H19" s="3"/>
      <c r="J19" s="3"/>
      <c r="L19" s="11"/>
      <c r="M19" s="7"/>
      <c r="N19" s="19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4"/>
      <c r="AS19" s="19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20"/>
      <c r="IY19" s="20"/>
      <c r="IZ19" s="20"/>
      <c r="JA19" s="20"/>
      <c r="JB19" s="20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  <c r="NK19" s="20"/>
      <c r="NL19" s="20"/>
      <c r="NM19" s="20"/>
      <c r="NN19" s="20"/>
      <c r="NO19" s="24"/>
    </row>
    <row r="20" spans="1:379">
      <c r="A20">
        <f t="shared" si="0"/>
        <v>16</v>
      </c>
      <c r="H20" s="3"/>
      <c r="J20" s="3"/>
      <c r="L20" s="11"/>
      <c r="M20" s="7"/>
      <c r="N20" s="19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4"/>
      <c r="AS20" s="19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  <c r="NK20" s="20"/>
      <c r="NL20" s="20"/>
      <c r="NM20" s="20"/>
      <c r="NN20" s="20"/>
      <c r="NO20" s="24"/>
    </row>
    <row r="21" spans="1:379">
      <c r="A21">
        <f t="shared" si="0"/>
        <v>17</v>
      </c>
      <c r="H21" s="3"/>
      <c r="J21" s="3"/>
      <c r="L21" s="11"/>
      <c r="M21" s="7"/>
      <c r="N21" s="19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4"/>
      <c r="AS21" s="19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  <c r="CT21" s="20"/>
      <c r="CU21" s="20"/>
      <c r="CV21" s="20"/>
      <c r="CW21" s="20"/>
      <c r="CX21" s="20"/>
      <c r="CY21" s="20"/>
      <c r="CZ21" s="20"/>
      <c r="DA21" s="20"/>
      <c r="DB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20"/>
      <c r="EH21" s="20"/>
      <c r="EI21" s="20"/>
      <c r="EJ21" s="20"/>
      <c r="EK21" s="20"/>
      <c r="EL21" s="20"/>
      <c r="EM21" s="20"/>
      <c r="EN21" s="20"/>
      <c r="EO21" s="20"/>
      <c r="EP21" s="20"/>
      <c r="EQ21" s="20"/>
      <c r="ER21" s="20"/>
      <c r="ES21" s="20"/>
      <c r="ET21" s="20"/>
      <c r="EU21" s="20"/>
      <c r="EV21" s="20"/>
      <c r="EW21" s="20"/>
      <c r="EX21" s="20"/>
      <c r="EY21" s="20"/>
      <c r="EZ21" s="20"/>
      <c r="FA21" s="20"/>
      <c r="FB21" s="20"/>
      <c r="FC21" s="20"/>
      <c r="FD21" s="20"/>
      <c r="FE21" s="20"/>
      <c r="FF21" s="20"/>
      <c r="FG21" s="20"/>
      <c r="FH21" s="20"/>
      <c r="FI21" s="20"/>
      <c r="FJ21" s="20"/>
      <c r="FK21" s="20"/>
      <c r="FL21" s="20"/>
      <c r="FM21" s="20"/>
      <c r="FN21" s="20"/>
      <c r="FO21" s="20"/>
      <c r="FP21" s="20"/>
      <c r="FQ21" s="20"/>
      <c r="FR21" s="20"/>
      <c r="FS21" s="20"/>
      <c r="FT21" s="20"/>
      <c r="FU21" s="20"/>
      <c r="FV21" s="20"/>
      <c r="FW21" s="20"/>
      <c r="FX21" s="20"/>
      <c r="FY21" s="20"/>
      <c r="FZ21" s="20"/>
      <c r="GA21" s="20"/>
      <c r="GB21" s="20"/>
      <c r="GC21" s="20"/>
      <c r="GD21" s="20"/>
      <c r="GE21" s="20"/>
      <c r="GF21" s="20"/>
      <c r="GG21" s="20"/>
      <c r="GH21" s="20"/>
      <c r="GI21" s="20"/>
      <c r="GJ21" s="20"/>
      <c r="GK21" s="20"/>
      <c r="GL21" s="20"/>
      <c r="GM21" s="20"/>
      <c r="GN21" s="20"/>
      <c r="GO21" s="20"/>
      <c r="GP21" s="20"/>
      <c r="GQ21" s="20"/>
      <c r="GR21" s="20"/>
      <c r="GS21" s="20"/>
      <c r="GT21" s="20"/>
      <c r="GU21" s="20"/>
      <c r="GV21" s="20"/>
      <c r="GW21" s="20"/>
      <c r="GX21" s="20"/>
      <c r="GY21" s="20"/>
      <c r="GZ21" s="20"/>
      <c r="HA21" s="20"/>
      <c r="HB21" s="20"/>
      <c r="HC21" s="20"/>
      <c r="HD21" s="20"/>
      <c r="HE21" s="20"/>
      <c r="HF21" s="20"/>
      <c r="HG21" s="20"/>
      <c r="HH21" s="20"/>
      <c r="HI21" s="20"/>
      <c r="HJ21" s="20"/>
      <c r="HK21" s="20"/>
      <c r="HL21" s="20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20"/>
      <c r="IK21" s="20"/>
      <c r="IL21" s="20"/>
      <c r="IM21" s="20"/>
      <c r="IN21" s="20"/>
      <c r="IO21" s="20"/>
      <c r="IP21" s="20"/>
      <c r="IQ21" s="20"/>
      <c r="IR21" s="20"/>
      <c r="IS21" s="20"/>
      <c r="IT21" s="20"/>
      <c r="IU21" s="20"/>
      <c r="IV21" s="20"/>
      <c r="IW21" s="20"/>
      <c r="IX21" s="20"/>
      <c r="IY21" s="20"/>
      <c r="IZ21" s="20"/>
      <c r="JA21" s="20"/>
      <c r="JB21" s="20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  <c r="NK21" s="20"/>
      <c r="NL21" s="20"/>
      <c r="NM21" s="20"/>
      <c r="NN21" s="20"/>
      <c r="NO21" s="24"/>
    </row>
    <row r="22" spans="1:379">
      <c r="A22">
        <f t="shared" si="0"/>
        <v>18</v>
      </c>
      <c r="H22" s="3"/>
      <c r="J22" s="3"/>
      <c r="L22" s="11"/>
      <c r="M22" s="7"/>
      <c r="N22" s="19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4"/>
      <c r="AS22" s="19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0"/>
      <c r="FA22" s="20"/>
      <c r="FB22" s="20"/>
      <c r="FC22" s="20"/>
      <c r="FD22" s="20"/>
      <c r="FE22" s="20"/>
      <c r="FF22" s="20"/>
      <c r="FG22" s="20"/>
      <c r="FH22" s="20"/>
      <c r="FI22" s="20"/>
      <c r="FJ22" s="20"/>
      <c r="FK22" s="20"/>
      <c r="FL22" s="20"/>
      <c r="FM22" s="20"/>
      <c r="FN22" s="20"/>
      <c r="FO22" s="20"/>
      <c r="FP22" s="20"/>
      <c r="FQ22" s="20"/>
      <c r="FR22" s="20"/>
      <c r="FS22" s="20"/>
      <c r="FT22" s="20"/>
      <c r="FU22" s="20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0"/>
      <c r="GR22" s="20"/>
      <c r="GS22" s="20"/>
      <c r="GT22" s="20"/>
      <c r="GU22" s="20"/>
      <c r="GV22" s="20"/>
      <c r="GW22" s="20"/>
      <c r="GX22" s="20"/>
      <c r="GY22" s="20"/>
      <c r="GZ22" s="20"/>
      <c r="HA22" s="20"/>
      <c r="HB22" s="20"/>
      <c r="HC22" s="20"/>
      <c r="HD22" s="20"/>
      <c r="HE22" s="20"/>
      <c r="HF22" s="20"/>
      <c r="HG22" s="20"/>
      <c r="HH22" s="20"/>
      <c r="HI22" s="20"/>
      <c r="HJ22" s="20"/>
      <c r="HK22" s="20"/>
      <c r="HL22" s="20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20"/>
      <c r="IK22" s="20"/>
      <c r="IL22" s="20"/>
      <c r="IM22" s="20"/>
      <c r="IN22" s="20"/>
      <c r="IO22" s="20"/>
      <c r="IP22" s="20"/>
      <c r="IQ22" s="20"/>
      <c r="IR22" s="20"/>
      <c r="IS22" s="20"/>
      <c r="IT22" s="20"/>
      <c r="IU22" s="20"/>
      <c r="IV22" s="20"/>
      <c r="IW22" s="20"/>
      <c r="IX22" s="20"/>
      <c r="IY22" s="20"/>
      <c r="IZ22" s="20"/>
      <c r="JA22" s="20"/>
      <c r="JB22" s="20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  <c r="NK22" s="20"/>
      <c r="NL22" s="20"/>
      <c r="NM22" s="20"/>
      <c r="NN22" s="20"/>
      <c r="NO22" s="24"/>
    </row>
    <row r="23" spans="1:379">
      <c r="A23">
        <f t="shared" si="0"/>
        <v>19</v>
      </c>
      <c r="H23" s="3"/>
      <c r="J23" s="3"/>
      <c r="L23" s="11"/>
      <c r="M23" s="7"/>
      <c r="N23" s="19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4"/>
      <c r="AS23" s="19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0"/>
      <c r="FA23" s="20"/>
      <c r="FB23" s="20"/>
      <c r="FC23" s="20"/>
      <c r="FD23" s="20"/>
      <c r="FE23" s="20"/>
      <c r="FF23" s="20"/>
      <c r="FG23" s="20"/>
      <c r="FH23" s="20"/>
      <c r="FI23" s="20"/>
      <c r="FJ23" s="20"/>
      <c r="FK23" s="20"/>
      <c r="FL23" s="20"/>
      <c r="FM23" s="20"/>
      <c r="FN23" s="20"/>
      <c r="FO23" s="20"/>
      <c r="FP23" s="20"/>
      <c r="FQ23" s="20"/>
      <c r="FR23" s="20"/>
      <c r="FS23" s="20"/>
      <c r="FT23" s="20"/>
      <c r="FU23" s="20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0"/>
      <c r="GR23" s="20"/>
      <c r="GS23" s="20"/>
      <c r="GT23" s="20"/>
      <c r="GU23" s="20"/>
      <c r="GV23" s="20"/>
      <c r="GW23" s="20"/>
      <c r="GX23" s="20"/>
      <c r="GY23" s="20"/>
      <c r="GZ23" s="20"/>
      <c r="HA23" s="20"/>
      <c r="HB23" s="20"/>
      <c r="HC23" s="20"/>
      <c r="HD23" s="20"/>
      <c r="HE23" s="20"/>
      <c r="HF23" s="20"/>
      <c r="HG23" s="20"/>
      <c r="HH23" s="20"/>
      <c r="HI23" s="20"/>
      <c r="HJ23" s="20"/>
      <c r="HK23" s="20"/>
      <c r="HL23" s="20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20"/>
      <c r="IK23" s="20"/>
      <c r="IL23" s="20"/>
      <c r="IM23" s="20"/>
      <c r="IN23" s="20"/>
      <c r="IO23" s="20"/>
      <c r="IP23" s="20"/>
      <c r="IQ23" s="20"/>
      <c r="IR23" s="20"/>
      <c r="IS23" s="20"/>
      <c r="IT23" s="20"/>
      <c r="IU23" s="20"/>
      <c r="IV23" s="20"/>
      <c r="IW23" s="20"/>
      <c r="IX23" s="20"/>
      <c r="IY23" s="20"/>
      <c r="IZ23" s="20"/>
      <c r="JA23" s="20"/>
      <c r="JB23" s="20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  <c r="NK23" s="20"/>
      <c r="NL23" s="20"/>
      <c r="NM23" s="20"/>
      <c r="NN23" s="20"/>
      <c r="NO23" s="24"/>
    </row>
    <row r="24" spans="1:379">
      <c r="A24">
        <f t="shared" si="0"/>
        <v>20</v>
      </c>
      <c r="H24" s="3"/>
      <c r="J24" s="3"/>
      <c r="L24" s="11"/>
      <c r="M24" s="7"/>
      <c r="N24" s="19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4"/>
      <c r="AS24" s="26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  <c r="IW24" s="27"/>
      <c r="IX24" s="27"/>
      <c r="IY24" s="27"/>
      <c r="IZ24" s="27"/>
      <c r="JA24" s="27"/>
      <c r="JB24" s="27"/>
      <c r="JC24" s="27"/>
      <c r="JD24" s="27"/>
      <c r="JE24" s="27"/>
      <c r="JF24" s="27"/>
      <c r="JG24" s="27"/>
      <c r="JH24" s="27"/>
      <c r="JI24" s="27"/>
      <c r="JJ24" s="27"/>
      <c r="JK24" s="27"/>
      <c r="JL24" s="27"/>
      <c r="JM24" s="27"/>
      <c r="JN24" s="27"/>
      <c r="JO24" s="27"/>
      <c r="JP24" s="27"/>
      <c r="JQ24" s="27"/>
      <c r="JR24" s="27"/>
      <c r="JS24" s="27"/>
      <c r="JT24" s="27"/>
      <c r="JU24" s="27"/>
      <c r="JV24" s="27"/>
      <c r="JW24" s="27"/>
      <c r="JX24" s="27"/>
      <c r="JY24" s="27"/>
      <c r="JZ24" s="27"/>
      <c r="KA24" s="27"/>
      <c r="KB24" s="27"/>
      <c r="KC24" s="27"/>
      <c r="KD24" s="27"/>
      <c r="KE24" s="27"/>
      <c r="KF24" s="27"/>
      <c r="KG24" s="27"/>
      <c r="KH24" s="27"/>
      <c r="KI24" s="27"/>
      <c r="KJ24" s="27"/>
      <c r="KK24" s="27"/>
      <c r="KL24" s="27"/>
      <c r="KM24" s="27"/>
      <c r="KN24" s="27"/>
      <c r="KO24" s="27"/>
      <c r="KP24" s="27"/>
      <c r="KQ24" s="27"/>
      <c r="KR24" s="27"/>
      <c r="KS24" s="27"/>
      <c r="KT24" s="27"/>
      <c r="KU24" s="27"/>
      <c r="KV24" s="27"/>
      <c r="KW24" s="27"/>
      <c r="KX24" s="27"/>
      <c r="KY24" s="27"/>
      <c r="KZ24" s="27"/>
      <c r="LA24" s="27"/>
      <c r="LB24" s="27"/>
      <c r="LC24" s="27"/>
      <c r="LD24" s="27"/>
      <c r="LE24" s="27"/>
      <c r="LF24" s="27"/>
      <c r="LG24" s="27"/>
      <c r="LH24" s="27"/>
      <c r="LI24" s="27"/>
      <c r="LJ24" s="27"/>
      <c r="LK24" s="27"/>
      <c r="LL24" s="27"/>
      <c r="LM24" s="27"/>
      <c r="LN24" s="27"/>
      <c r="LO24" s="27"/>
      <c r="LP24" s="27"/>
      <c r="LQ24" s="27"/>
      <c r="LR24" s="27"/>
      <c r="LS24" s="27"/>
      <c r="LT24" s="27"/>
      <c r="LU24" s="27"/>
      <c r="LV24" s="27"/>
      <c r="LW24" s="27"/>
      <c r="LX24" s="27"/>
      <c r="LY24" s="27"/>
      <c r="LZ24" s="27"/>
      <c r="MA24" s="27"/>
      <c r="MB24" s="27"/>
      <c r="MC24" s="27"/>
      <c r="MD24" s="27"/>
      <c r="ME24" s="27"/>
      <c r="MF24" s="27"/>
      <c r="MG24" s="27"/>
      <c r="MH24" s="27"/>
      <c r="MI24" s="27"/>
      <c r="MJ24" s="27"/>
      <c r="MK24" s="27"/>
      <c r="ML24" s="27"/>
      <c r="MM24" s="27"/>
      <c r="MN24" s="27"/>
      <c r="MO24" s="27"/>
      <c r="MP24" s="27"/>
      <c r="MQ24" s="27"/>
      <c r="MR24" s="27"/>
      <c r="MS24" s="27"/>
      <c r="MT24" s="27"/>
      <c r="MU24" s="27"/>
      <c r="MV24" s="27"/>
      <c r="MW24" s="27"/>
      <c r="MX24" s="27"/>
      <c r="MY24" s="27"/>
      <c r="MZ24" s="27"/>
      <c r="NA24" s="27"/>
      <c r="NB24" s="27"/>
      <c r="NC24" s="27"/>
      <c r="ND24" s="27"/>
      <c r="NE24" s="27"/>
      <c r="NF24" s="27"/>
      <c r="NG24" s="27"/>
      <c r="NH24" s="27"/>
      <c r="NI24" s="27"/>
      <c r="NJ24" s="27"/>
      <c r="NK24" s="27"/>
      <c r="NL24" s="27"/>
      <c r="NM24" s="27"/>
      <c r="NN24" s="27"/>
      <c r="NO24" s="28"/>
    </row>
    <row r="25" spans="1:379">
      <c r="A25">
        <f t="shared" si="0"/>
        <v>21</v>
      </c>
      <c r="H25" s="3"/>
      <c r="J25" s="3"/>
      <c r="L25" s="11"/>
      <c r="M25" s="7"/>
      <c r="N25" s="19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4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16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16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16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16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16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16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16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16"/>
      <c r="JX25" s="16"/>
      <c r="JY25" s="16"/>
      <c r="JZ25" s="16"/>
      <c r="KA25" s="16"/>
      <c r="KB25" s="16"/>
      <c r="KC25" s="16"/>
      <c r="KD25" s="16"/>
      <c r="KE25" s="16"/>
      <c r="KF25" s="16"/>
      <c r="KG25" s="16"/>
      <c r="KH25" s="16"/>
      <c r="KI25" s="16"/>
      <c r="KJ25" s="16"/>
      <c r="KK25" s="16"/>
      <c r="KL25" s="16"/>
      <c r="KM25" s="16"/>
      <c r="KN25" s="16"/>
      <c r="KO25" s="16"/>
      <c r="KP25" s="16"/>
      <c r="KQ25" s="16"/>
      <c r="KR25" s="16"/>
      <c r="KS25" s="16"/>
      <c r="KT25" s="16"/>
      <c r="KU25" s="16"/>
      <c r="KV25" s="16"/>
      <c r="KW25" s="16"/>
      <c r="KX25" s="16"/>
      <c r="KY25" s="16"/>
      <c r="KZ25" s="16"/>
      <c r="LA25" s="16"/>
      <c r="LB25" s="16"/>
      <c r="LC25" s="16"/>
      <c r="LD25" s="16"/>
      <c r="LE25" s="16"/>
      <c r="LF25" s="16"/>
      <c r="LG25" s="16"/>
      <c r="LH25" s="16"/>
      <c r="LI25" s="16"/>
      <c r="LJ25" s="16"/>
      <c r="LK25" s="16"/>
      <c r="LL25" s="16"/>
      <c r="LM25" s="16"/>
      <c r="LN25" s="16"/>
      <c r="LO25" s="16"/>
      <c r="LP25" s="16"/>
      <c r="LQ25" s="16"/>
      <c r="LR25" s="16"/>
      <c r="LS25" s="16"/>
      <c r="LT25" s="16"/>
      <c r="LU25" s="16"/>
      <c r="LV25" s="16"/>
      <c r="LW25" s="16"/>
      <c r="LX25" s="16"/>
      <c r="LY25" s="16"/>
      <c r="LZ25" s="16"/>
      <c r="MA25" s="16"/>
      <c r="MB25" s="16"/>
      <c r="MC25" s="16"/>
      <c r="MD25" s="16"/>
      <c r="ME25" s="16"/>
      <c r="MF25" s="16"/>
      <c r="MG25" s="16"/>
      <c r="MH25" s="16"/>
      <c r="MI25" s="16"/>
      <c r="MJ25" s="16"/>
      <c r="MK25" s="16"/>
      <c r="ML25" s="16"/>
      <c r="MM25" s="16"/>
      <c r="MN25" s="16"/>
      <c r="MO25" s="16"/>
      <c r="MP25" s="16"/>
      <c r="MQ25" s="16"/>
      <c r="MR25" s="16"/>
      <c r="MS25" s="16"/>
      <c r="MT25" s="16"/>
      <c r="MU25" s="16"/>
      <c r="MV25" s="16"/>
      <c r="MW25" s="16"/>
      <c r="MX25" s="16"/>
      <c r="MY25" s="16"/>
      <c r="MZ25" s="16"/>
      <c r="NA25" s="16"/>
      <c r="NB25" s="16"/>
      <c r="NC25" s="16"/>
      <c r="ND25" s="16"/>
      <c r="NE25" s="16"/>
      <c r="NF25" s="16"/>
      <c r="NG25" s="16"/>
      <c r="NH25" s="16"/>
      <c r="NI25" s="16"/>
      <c r="NJ25" s="16"/>
      <c r="NK25" s="16"/>
      <c r="NL25" s="16"/>
      <c r="NM25" s="16"/>
      <c r="NN25" s="16"/>
      <c r="NO25" s="16"/>
    </row>
    <row r="26" spans="1:379">
      <c r="A26">
        <f t="shared" si="0"/>
        <v>22</v>
      </c>
      <c r="H26" s="3"/>
      <c r="J26" s="3"/>
      <c r="L26" s="11"/>
      <c r="M26" s="7"/>
      <c r="N26" s="19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4"/>
    </row>
    <row r="27" spans="1:379">
      <c r="A27">
        <f t="shared" si="0"/>
        <v>23</v>
      </c>
      <c r="H27" s="3"/>
      <c r="J27" s="3"/>
      <c r="L27" s="11"/>
      <c r="M27" s="7"/>
      <c r="N27" s="26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8"/>
    </row>
    <row r="28" spans="1:379"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</sheetData>
  <phoneticPr fontId="1"/>
  <conditionalFormatting sqref="N5:AR27">
    <cfRule type="expression" dxfId="8" priority="1" stopIfTrue="1">
      <formula>OR(WEEKDAY(N$2)=1, WEEKDAY(N$2)=7)</formula>
    </cfRule>
    <cfRule type="expression" dxfId="7" priority="2" stopIfTrue="1">
      <formula>COUNTIF(INDIRECT("_祝日[日付]"),N$2)=1</formula>
    </cfRule>
    <cfRule type="expression" dxfId="6" priority="3" stopIfTrue="1">
      <formula>AND(N$2&gt;=$H5,N$2&lt;=$J5,$K5="対応完了")</formula>
    </cfRule>
    <cfRule type="expression" dxfId="5" priority="4" stopIfTrue="1">
      <formula>AND(N$2&gt;=$H5,N$2&lt;=$J5,$J5&lt;TODAY())</formula>
    </cfRule>
    <cfRule type="expression" dxfId="4" priority="5" stopIfTrue="1">
      <formula>AND(N$2&gt;=$H5,N$2&lt;=$J5)</formula>
    </cfRule>
  </conditionalFormatting>
  <conditionalFormatting sqref="L5:L27">
    <cfRule type="iconSet" priority="6">
      <iconSet iconSet="5Quarters">
        <cfvo type="percent" val="0"/>
        <cfvo type="formula" val="0.25"/>
        <cfvo type="formula" val="0.5"/>
        <cfvo type="formula" val="0.75"/>
        <cfvo type="formula" val="1"/>
      </iconSet>
    </cfRule>
  </conditionalFormatting>
  <conditionalFormatting sqref="A5:M27">
    <cfRule type="expression" dxfId="3" priority="7" stopIfTrue="1">
      <formula>$K5="対応完了"</formula>
    </cfRule>
    <cfRule type="expression" dxfId="2" priority="8" stopIfTrue="1">
      <formula>AND($J5&lt;TODAY(),$J5&lt;&gt;"")</formula>
    </cfRule>
    <cfRule type="expression" dxfId="1" priority="9" stopIfTrue="1">
      <formula>$C5&lt;&gt;""</formula>
    </cfRule>
    <cfRule type="expression" dxfId="0" priority="10" stopIfTrue="1">
      <formula>$B5&lt;&gt;""</formula>
    </cfRule>
  </conditionalFormatting>
  <dataValidations count="1">
    <dataValidation type="list" allowBlank="1" showInputMessage="1" showErrorMessage="1" sqref="G5:G27" xr:uid="{38DA928E-C8E8-463E-B208-353D024B341F}">
      <formula1>INDIRECT("_PJメンバ")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" r:id="rId4" name="Button 238">
              <controlPr defaultSize="0" print="0" autoFill="0" autoPict="0" macro="[0]!シートの条件付き書式を初期化する">
                <anchor moveWithCells="1" sizeWithCells="1">
                  <from>
                    <xdr:col>0</xdr:col>
                    <xdr:colOff>109538</xdr:colOff>
                    <xdr:row>1</xdr:row>
                    <xdr:rowOff>200025</xdr:rowOff>
                  </from>
                  <to>
                    <xdr:col>2</xdr:col>
                    <xdr:colOff>28575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utton 250">
              <controlPr defaultSize="0" print="0" autoFill="0" autoPict="0" macro="[0]!WSBを初期化する">
                <anchor moveWithCells="1" sizeWithCells="1">
                  <from>
                    <xdr:col>0</xdr:col>
                    <xdr:colOff>109538</xdr:colOff>
                    <xdr:row>0</xdr:row>
                    <xdr:rowOff>114300</xdr:rowOff>
                  </from>
                  <to>
                    <xdr:col>2</xdr:col>
                    <xdr:colOff>33338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utton 251">
              <controlPr defaultSize="0" print="0" autoFill="0" autoPict="0" macro="[0]!当日線を描画する">
                <anchor moveWithCells="1" sizeWithCells="1">
                  <from>
                    <xdr:col>2</xdr:col>
                    <xdr:colOff>1271588</xdr:colOff>
                    <xdr:row>0</xdr:row>
                    <xdr:rowOff>114300</xdr:rowOff>
                  </from>
                  <to>
                    <xdr:col>3</xdr:col>
                    <xdr:colOff>842963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utton 252">
              <controlPr defaultSize="0" print="0" autoFill="0" autoPict="0" macro="[0]!セルのメモを更新する">
                <anchor moveWithCells="1" sizeWithCells="1">
                  <from>
                    <xdr:col>2</xdr:col>
                    <xdr:colOff>152400</xdr:colOff>
                    <xdr:row>0</xdr:row>
                    <xdr:rowOff>119063</xdr:rowOff>
                  </from>
                  <to>
                    <xdr:col>2</xdr:col>
                    <xdr:colOff>1152525</xdr:colOff>
                    <xdr:row>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8" name="Button 265">
              <controlPr defaultSize="0" print="0" autoFill="0" autoPict="0" macro="[0]!セルコメントの表示非表示を切り替える">
                <anchor moveWithCells="1" sizeWithCells="1">
                  <from>
                    <xdr:col>2</xdr:col>
                    <xdr:colOff>152400</xdr:colOff>
                    <xdr:row>1</xdr:row>
                    <xdr:rowOff>204788</xdr:rowOff>
                  </from>
                  <to>
                    <xdr:col>2</xdr:col>
                    <xdr:colOff>1143000</xdr:colOff>
                    <xdr:row>3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9" name="Button 278">
              <controlPr defaultSize="0" print="0" autoFill="0" autoPict="0" macro="[0]!実績線を描画する">
                <anchor moveWithCells="1" sizeWithCells="1">
                  <from>
                    <xdr:col>3</xdr:col>
                    <xdr:colOff>966788</xdr:colOff>
                    <xdr:row>0</xdr:row>
                    <xdr:rowOff>114300</xdr:rowOff>
                  </from>
                  <to>
                    <xdr:col>4</xdr:col>
                    <xdr:colOff>538163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0" name="Button 279">
              <controlPr defaultSize="0" print="0" autoFill="0" autoPict="0" macro="[0]!稲妻線を描画する">
                <anchor moveWithCells="1" sizeWithCells="1">
                  <from>
                    <xdr:col>2</xdr:col>
                    <xdr:colOff>1271588</xdr:colOff>
                    <xdr:row>1</xdr:row>
                    <xdr:rowOff>200025</xdr:rowOff>
                  </from>
                  <to>
                    <xdr:col>3</xdr:col>
                    <xdr:colOff>842963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OFFSET(マスタ!$A$2,0,0,COUNTA(マスタ!$A:$A)-1)</xm:f>
          </x14:formula1>
          <xm:sqref>K5:K27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/>
  </sheetViews>
  <sheetFormatPr defaultRowHeight="17.649999999999999"/>
  <cols>
    <col min="1" max="1" width="13.25" bestFit="1" customWidth="1"/>
    <col min="2" max="2" width="13.375" bestFit="1" customWidth="1"/>
  </cols>
  <sheetData>
    <row r="1" spans="1:2">
      <c r="A1" s="4" t="s">
        <v>23</v>
      </c>
      <c r="B1" s="4" t="s">
        <v>32</v>
      </c>
    </row>
    <row r="2" spans="1:2">
      <c r="A2" t="s">
        <v>24</v>
      </c>
      <c r="B2" t="s">
        <v>29</v>
      </c>
    </row>
    <row r="3" spans="1:2">
      <c r="A3" t="s">
        <v>25</v>
      </c>
      <c r="B3" t="s">
        <v>30</v>
      </c>
    </row>
    <row r="4" spans="1:2">
      <c r="A4" t="s">
        <v>26</v>
      </c>
      <c r="B4" t="s">
        <v>31</v>
      </c>
    </row>
    <row r="5" spans="1:2">
      <c r="A5" t="s">
        <v>27</v>
      </c>
    </row>
    <row r="6" spans="1:2">
      <c r="A6" t="s">
        <v>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7.649999999999999"/>
  <cols>
    <col min="1" max="1" width="13" bestFit="1" customWidth="1"/>
    <col min="2" max="2" width="11.375" bestFit="1" customWidth="1"/>
  </cols>
  <sheetData>
    <row r="1" spans="1:2">
      <c r="A1" t="s">
        <v>33</v>
      </c>
      <c r="B1" t="s">
        <v>34</v>
      </c>
    </row>
    <row r="2" spans="1:2">
      <c r="A2" t="s">
        <v>5</v>
      </c>
      <c r="B2" s="3">
        <v>45292</v>
      </c>
    </row>
    <row r="3" spans="1:2">
      <c r="A3" t="s">
        <v>6</v>
      </c>
      <c r="B3" s="3">
        <v>45299</v>
      </c>
    </row>
    <row r="4" spans="1:2">
      <c r="A4" t="s">
        <v>7</v>
      </c>
      <c r="B4" s="3">
        <v>45333</v>
      </c>
    </row>
    <row r="5" spans="1:2">
      <c r="A5" t="s">
        <v>17</v>
      </c>
      <c r="B5" s="3">
        <v>45334</v>
      </c>
    </row>
    <row r="6" spans="1:2">
      <c r="A6" t="s">
        <v>8</v>
      </c>
      <c r="B6" s="3">
        <v>45345</v>
      </c>
    </row>
    <row r="7" spans="1:2">
      <c r="A7" t="s">
        <v>9</v>
      </c>
      <c r="B7" s="3">
        <v>45371</v>
      </c>
    </row>
    <row r="8" spans="1:2">
      <c r="A8" t="s">
        <v>10</v>
      </c>
      <c r="B8" s="3">
        <v>45411</v>
      </c>
    </row>
    <row r="9" spans="1:2">
      <c r="A9" t="s">
        <v>11</v>
      </c>
      <c r="B9" s="3">
        <v>45415</v>
      </c>
    </row>
    <row r="10" spans="1:2">
      <c r="A10" t="s">
        <v>12</v>
      </c>
      <c r="B10" s="3">
        <v>45416</v>
      </c>
    </row>
    <row r="11" spans="1:2">
      <c r="A11" t="s">
        <v>13</v>
      </c>
      <c r="B11" s="3">
        <v>45417</v>
      </c>
    </row>
    <row r="12" spans="1:2">
      <c r="A12" t="s">
        <v>17</v>
      </c>
      <c r="B12" s="3">
        <v>45418</v>
      </c>
    </row>
    <row r="13" spans="1:2">
      <c r="A13" t="s">
        <v>14</v>
      </c>
      <c r="B13" s="3">
        <v>45488</v>
      </c>
    </row>
    <row r="14" spans="1:2">
      <c r="A14" t="s">
        <v>16</v>
      </c>
      <c r="B14" s="3">
        <v>45515</v>
      </c>
    </row>
    <row r="15" spans="1:2">
      <c r="A15" t="s">
        <v>17</v>
      </c>
      <c r="B15" s="3">
        <v>45516</v>
      </c>
    </row>
    <row r="16" spans="1:2">
      <c r="A16" t="s">
        <v>18</v>
      </c>
      <c r="B16" s="3">
        <v>45551</v>
      </c>
    </row>
    <row r="17" spans="1:2">
      <c r="A17" t="s">
        <v>19</v>
      </c>
      <c r="B17" s="3">
        <v>45557</v>
      </c>
    </row>
    <row r="18" spans="1:2">
      <c r="A18" t="s">
        <v>17</v>
      </c>
      <c r="B18" s="3">
        <v>45558</v>
      </c>
    </row>
    <row r="19" spans="1:2">
      <c r="A19" t="s">
        <v>15</v>
      </c>
      <c r="B19" s="3">
        <v>45579</v>
      </c>
    </row>
    <row r="20" spans="1:2">
      <c r="A20" t="s">
        <v>20</v>
      </c>
      <c r="B20" s="3">
        <v>45599</v>
      </c>
    </row>
    <row r="21" spans="1:2">
      <c r="A21" t="s">
        <v>17</v>
      </c>
      <c r="B21" s="3">
        <v>45600</v>
      </c>
    </row>
    <row r="22" spans="1:2">
      <c r="A22" t="s">
        <v>21</v>
      </c>
      <c r="B22" s="3">
        <v>45619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B5DED-B480-4128-B51B-5C68AB82D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10</vt:i4>
      </vt:variant>
    </vt:vector>
  </HeadingPairs>
  <TitlesOfParts>
    <vt:vector size="13" baseType="lpstr">
      <vt:lpstr>WBS</vt:lpstr>
      <vt:lpstr>マスタ</vt:lpstr>
      <vt:lpstr>祝日</vt:lpstr>
      <vt:lpstr>_calendar</vt:lpstr>
      <vt:lpstr>_category</vt:lpstr>
      <vt:lpstr>_endDate</vt:lpstr>
      <vt:lpstr>_phase</vt:lpstr>
      <vt:lpstr>_progress</vt:lpstr>
      <vt:lpstr>_startDate</vt:lpstr>
      <vt:lpstr>_status</vt:lpstr>
      <vt:lpstr>_subCategory</vt:lpstr>
      <vt:lpstr>_subSubCategory</vt:lpstr>
      <vt:lpstr>_taskStart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大江広司</dc:creator>
  <cp:lastModifiedBy>広司 大江</cp:lastModifiedBy>
  <dcterms:created xsi:type="dcterms:W3CDTF">2015-06-05T18:19:34Z</dcterms:created>
  <dcterms:modified xsi:type="dcterms:W3CDTF">2024-12-23T05:10:56Z</dcterms:modified>
</cp:coreProperties>
</file>